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belle/Desktop/"/>
    </mc:Choice>
  </mc:AlternateContent>
  <xr:revisionPtr revIDLastSave="0" documentId="8_{06CC1553-BA74-D649-9540-45A97FF07058}" xr6:coauthVersionLast="47" xr6:coauthVersionMax="47" xr10:uidLastSave="{00000000-0000-0000-0000-000000000000}"/>
  <bookViews>
    <workbookView xWindow="13980" yWindow="740" windowWidth="15420" windowHeight="16520" firstSheet="7" activeTab="7" xr2:uid="{C00CA9C8-571C-DE4C-8011-A631C97A650B}"/>
  </bookViews>
  <sheets>
    <sheet name="00_README" sheetId="1" r:id="rId1"/>
    <sheet name="01_CONTROL" sheetId="2" r:id="rId2"/>
    <sheet name="02_RAW_DATA" sheetId="3" r:id="rId3"/>
    <sheet name="03_HIST_FS" sheetId="4" r:id="rId4"/>
    <sheet name="04_DRIVERS" sheetId="5" r:id="rId5"/>
    <sheet name="05_INCOME_STATEMENT" sheetId="6" r:id="rId6"/>
    <sheet name="06_BALANCE_SHEET" sheetId="9" r:id="rId7"/>
    <sheet name="07_CASH_FLOW" sheetId="10" r:id="rId8"/>
    <sheet name="08_CAPEX_PPE" sheetId="7" r:id="rId9"/>
    <sheet name="09_DEBT" sheetId="8" r:id="rId10"/>
    <sheet name="10_FPA_VARIANCE" sheetId="11" r:id="rId11"/>
    <sheet name="11_KPI_RATIOS" sheetId="12" r:id="rId12"/>
    <sheet name="12_SCENARIOS" sheetId="13" r:id="rId13"/>
    <sheet name="13_DCF_VALUATION" sheetId="14" r:id="rId14"/>
    <sheet name="14_DASHBOARD" sheetId="18" r:id="rId15"/>
    <sheet name="15_CHECKS " sheetId="19" r:id="rId16"/>
  </sheets>
  <externalReferences>
    <externalReference r:id="rId1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9" l="1"/>
  <c r="D9" i="19"/>
  <c r="F5" i="19" s="1"/>
  <c r="D10" i="19"/>
  <c r="F10" i="19" s="1"/>
  <c r="D11" i="19"/>
  <c r="F11" i="19"/>
  <c r="D12" i="19"/>
  <c r="F12" i="19" s="1"/>
  <c r="D13" i="19"/>
  <c r="F13" i="19" s="1"/>
  <c r="D14" i="19"/>
  <c r="F14" i="19" s="1"/>
  <c r="D15" i="19"/>
  <c r="F15" i="19"/>
  <c r="D16" i="19"/>
  <c r="F16" i="19" s="1"/>
  <c r="D17" i="19"/>
  <c r="F17" i="19" s="1"/>
  <c r="D18" i="19"/>
  <c r="F18" i="19" s="1"/>
  <c r="D19" i="19"/>
  <c r="F19" i="19"/>
  <c r="D20" i="19"/>
  <c r="F20" i="19" s="1"/>
  <c r="D21" i="19"/>
  <c r="F21" i="19" s="1"/>
  <c r="D22" i="19"/>
  <c r="F22" i="19" s="1"/>
  <c r="D23" i="19"/>
  <c r="F23" i="19"/>
  <c r="D24" i="19"/>
  <c r="F24" i="19" s="1"/>
  <c r="C51" i="14" a="1"/>
  <c r="C51" i="14" s="1"/>
  <c r="D51" i="14" a="1"/>
  <c r="D51" i="14"/>
  <c r="E51" i="14" a="1"/>
  <c r="E51" i="14"/>
  <c r="F51" i="14" a="1"/>
  <c r="F51" i="14"/>
  <c r="C52" i="14" a="1"/>
  <c r="C52" i="14"/>
  <c r="D52" i="14" a="1"/>
  <c r="D52" i="14"/>
  <c r="E52" i="14" a="1"/>
  <c r="E52" i="14"/>
  <c r="F52" i="14" a="1"/>
  <c r="F52" i="14"/>
  <c r="C53" i="14" a="1"/>
  <c r="C53" i="14"/>
  <c r="D53" i="14" a="1"/>
  <c r="D53" i="14"/>
  <c r="E53" i="14" a="1"/>
  <c r="E53" i="14"/>
  <c r="F53" i="14" a="1"/>
  <c r="F53" i="14"/>
  <c r="C54" i="14" a="1"/>
  <c r="C54" i="14"/>
  <c r="D54" i="14" a="1"/>
  <c r="D54" i="14"/>
  <c r="E54" i="14" a="1"/>
  <c r="E54" i="14"/>
  <c r="F54" i="14" a="1"/>
  <c r="F54" i="14"/>
  <c r="B51" i="14" a="1"/>
  <c r="B51" i="14" s="1"/>
  <c r="B52" i="14" a="1"/>
  <c r="B52" i="14" s="1"/>
  <c r="B53" i="14" a="1"/>
  <c r="B53" i="14" s="1"/>
  <c r="B54" i="14" a="1"/>
  <c r="B54" i="14" s="1"/>
  <c r="C50" i="14" a="1"/>
  <c r="C50" i="14" s="1"/>
  <c r="D50" i="14" a="1"/>
  <c r="D50" i="14"/>
  <c r="E50" i="14" a="1"/>
  <c r="E50" i="14" s="1"/>
  <c r="F50" i="14" a="1"/>
  <c r="F50" i="14" s="1"/>
  <c r="B50" i="14" a="1"/>
  <c r="B50" i="14" s="1"/>
  <c r="B29" i="14"/>
  <c r="B30" i="14"/>
  <c r="B31" i="14"/>
  <c r="B32" i="14" s="1"/>
  <c r="B33" i="14" s="1"/>
  <c r="B34" i="14" s="1"/>
  <c r="B35" i="14" s="1"/>
  <c r="B37" i="14" s="1"/>
  <c r="B39" i="14" s="1"/>
  <c r="B41" i="14" s="1"/>
  <c r="B42" i="14" s="1"/>
  <c r="B44" i="14" s="1"/>
  <c r="B36" i="14"/>
  <c r="B38" i="14"/>
  <c r="B40" i="14"/>
  <c r="B43" i="14"/>
  <c r="B13" i="14"/>
  <c r="B15" i="14" s="1"/>
  <c r="B22" i="14" s="1"/>
  <c r="B25" i="14" s="1"/>
  <c r="C13" i="14"/>
  <c r="D13" i="14"/>
  <c r="D15" i="14" s="1"/>
  <c r="E13" i="14"/>
  <c r="F13" i="14"/>
  <c r="B14" i="14"/>
  <c r="C14" i="14"/>
  <c r="D14" i="14"/>
  <c r="E14" i="14"/>
  <c r="F14" i="14"/>
  <c r="F15" i="14" s="1"/>
  <c r="C15" i="14"/>
  <c r="E15" i="14"/>
  <c r="B16" i="14"/>
  <c r="C16" i="14"/>
  <c r="D16" i="14"/>
  <c r="E16" i="14"/>
  <c r="F16" i="14"/>
  <c r="B17" i="14"/>
  <c r="C17" i="14"/>
  <c r="D17" i="14"/>
  <c r="E17" i="14"/>
  <c r="F17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B21" i="14"/>
  <c r="C21" i="14"/>
  <c r="D21" i="14"/>
  <c r="D22" i="14" s="1"/>
  <c r="D25" i="14" s="1"/>
  <c r="E21" i="14"/>
  <c r="E22" i="14" s="1"/>
  <c r="E25" i="14" s="1"/>
  <c r="F21" i="14"/>
  <c r="F22" i="14" s="1"/>
  <c r="F25" i="14" s="1"/>
  <c r="C22" i="14"/>
  <c r="C25" i="14" s="1"/>
  <c r="B24" i="14"/>
  <c r="C24" i="14"/>
  <c r="D24" i="14"/>
  <c r="E24" i="14"/>
  <c r="F24" i="14"/>
  <c r="B7" i="14"/>
  <c r="C36" i="13"/>
  <c r="D36" i="13"/>
  <c r="B36" i="13"/>
  <c r="C37" i="13"/>
  <c r="D37" i="13"/>
  <c r="D54" i="13" s="1"/>
  <c r="B37" i="13"/>
  <c r="C16" i="13"/>
  <c r="D16" i="13"/>
  <c r="D33" i="13" s="1"/>
  <c r="D34" i="13" s="1"/>
  <c r="B16" i="13"/>
  <c r="C54" i="13"/>
  <c r="C22" i="13"/>
  <c r="D22" i="13"/>
  <c r="B22" i="13"/>
  <c r="B23" i="13" s="1"/>
  <c r="C38" i="13"/>
  <c r="D38" i="13"/>
  <c r="B38" i="13"/>
  <c r="C23" i="13"/>
  <c r="D23" i="13"/>
  <c r="C17" i="13"/>
  <c r="D17" i="13"/>
  <c r="B17" i="13"/>
  <c r="C15" i="13"/>
  <c r="D15" i="13"/>
  <c r="B15" i="13"/>
  <c r="B44" i="13" s="1"/>
  <c r="B46" i="13" s="1"/>
  <c r="D56" i="13"/>
  <c r="B42" i="13"/>
  <c r="C42" i="13"/>
  <c r="D42" i="13"/>
  <c r="B43" i="13"/>
  <c r="C43" i="13"/>
  <c r="D43" i="13"/>
  <c r="C44" i="13"/>
  <c r="C46" i="13" s="1"/>
  <c r="D44" i="13"/>
  <c r="D46" i="13" s="1"/>
  <c r="B45" i="13"/>
  <c r="C45" i="13"/>
  <c r="D45" i="13"/>
  <c r="B27" i="13"/>
  <c r="C27" i="13"/>
  <c r="D27" i="13"/>
  <c r="B28" i="13"/>
  <c r="C28" i="13"/>
  <c r="D28" i="13"/>
  <c r="D31" i="13" s="1"/>
  <c r="B29" i="13"/>
  <c r="C29" i="13"/>
  <c r="D29" i="13"/>
  <c r="B30" i="13"/>
  <c r="C30" i="13"/>
  <c r="D30" i="13"/>
  <c r="B31" i="13"/>
  <c r="C31" i="13"/>
  <c r="B32" i="13"/>
  <c r="C32" i="13"/>
  <c r="D32" i="13"/>
  <c r="B33" i="13"/>
  <c r="B34" i="13" s="1"/>
  <c r="B35" i="13"/>
  <c r="C35" i="13"/>
  <c r="D35" i="13"/>
  <c r="B54" i="13"/>
  <c r="B13" i="13"/>
  <c r="B14" i="13" s="1"/>
  <c r="C13" i="13"/>
  <c r="D13" i="13"/>
  <c r="C14" i="13"/>
  <c r="D14" i="13"/>
  <c r="B19" i="13"/>
  <c r="B20" i="13" s="1"/>
  <c r="B21" i="13" s="1"/>
  <c r="B56" i="13" s="1"/>
  <c r="D19" i="13"/>
  <c r="D20" i="13" s="1"/>
  <c r="D21" i="13" s="1"/>
  <c r="B18" i="13"/>
  <c r="C18" i="13"/>
  <c r="D18" i="13"/>
  <c r="C19" i="13"/>
  <c r="C20" i="13" s="1"/>
  <c r="C21" i="13" s="1"/>
  <c r="B4" i="12"/>
  <c r="C4" i="12"/>
  <c r="D4" i="12"/>
  <c r="E4" i="12"/>
  <c r="F4" i="12"/>
  <c r="G4" i="12"/>
  <c r="H4" i="12"/>
  <c r="I4" i="12"/>
  <c r="B5" i="12"/>
  <c r="C5" i="12"/>
  <c r="D5" i="12"/>
  <c r="E5" i="12"/>
  <c r="F5" i="12"/>
  <c r="G5" i="12"/>
  <c r="H5" i="12"/>
  <c r="I5" i="12"/>
  <c r="B6" i="12"/>
  <c r="C6" i="12"/>
  <c r="D6" i="12"/>
  <c r="E6" i="12"/>
  <c r="F6" i="12"/>
  <c r="G6" i="12"/>
  <c r="H6" i="12"/>
  <c r="I6" i="12"/>
  <c r="B7" i="12"/>
  <c r="C7" i="12"/>
  <c r="D7" i="12"/>
  <c r="E7" i="12"/>
  <c r="F7" i="12"/>
  <c r="G7" i="12"/>
  <c r="H7" i="12"/>
  <c r="I7" i="12"/>
  <c r="B8" i="12"/>
  <c r="C8" i="12"/>
  <c r="D8" i="12"/>
  <c r="E8" i="12"/>
  <c r="F8" i="12"/>
  <c r="G8" i="12"/>
  <c r="H8" i="12"/>
  <c r="I8" i="12"/>
  <c r="B9" i="12"/>
  <c r="C9" i="12"/>
  <c r="D9" i="12"/>
  <c r="E9" i="12"/>
  <c r="F9" i="12"/>
  <c r="G9" i="12"/>
  <c r="H9" i="12"/>
  <c r="I9" i="12"/>
  <c r="B10" i="12"/>
  <c r="C10" i="12"/>
  <c r="D10" i="12"/>
  <c r="E10" i="12"/>
  <c r="F10" i="12"/>
  <c r="G10" i="12"/>
  <c r="H10" i="12"/>
  <c r="I10" i="12"/>
  <c r="B11" i="12"/>
  <c r="C11" i="12"/>
  <c r="D11" i="12"/>
  <c r="E11" i="12"/>
  <c r="F11" i="12"/>
  <c r="G11" i="12"/>
  <c r="H11" i="12"/>
  <c r="I11" i="12"/>
  <c r="B12" i="12"/>
  <c r="C12" i="12"/>
  <c r="D12" i="12"/>
  <c r="E12" i="12"/>
  <c r="F12" i="12"/>
  <c r="F13" i="12" s="1"/>
  <c r="G12" i="12"/>
  <c r="H12" i="12"/>
  <c r="I12" i="12"/>
  <c r="B13" i="12"/>
  <c r="C13" i="12"/>
  <c r="D13" i="12"/>
  <c r="E13" i="12"/>
  <c r="G13" i="12"/>
  <c r="H13" i="12"/>
  <c r="I13" i="12"/>
  <c r="B14" i="12"/>
  <c r="C14" i="12"/>
  <c r="D14" i="12"/>
  <c r="E14" i="12"/>
  <c r="F14" i="12"/>
  <c r="G14" i="12"/>
  <c r="H14" i="12"/>
  <c r="I14" i="12"/>
  <c r="B15" i="12"/>
  <c r="C15" i="12"/>
  <c r="D15" i="12"/>
  <c r="E15" i="12"/>
  <c r="F15" i="12"/>
  <c r="G15" i="12"/>
  <c r="H15" i="12"/>
  <c r="I15" i="12"/>
  <c r="B16" i="12"/>
  <c r="C16" i="12"/>
  <c r="D16" i="12"/>
  <c r="E16" i="12"/>
  <c r="F16" i="12"/>
  <c r="G16" i="12"/>
  <c r="H16" i="12"/>
  <c r="I16" i="12"/>
  <c r="B17" i="12"/>
  <c r="C17" i="12"/>
  <c r="D17" i="12"/>
  <c r="E17" i="12"/>
  <c r="F17" i="12"/>
  <c r="G17" i="12"/>
  <c r="H17" i="12"/>
  <c r="I17" i="12"/>
  <c r="B18" i="12"/>
  <c r="C18" i="12"/>
  <c r="D18" i="12"/>
  <c r="E18" i="12"/>
  <c r="F18" i="12"/>
  <c r="G18" i="12"/>
  <c r="H18" i="12"/>
  <c r="I18" i="12"/>
  <c r="B19" i="12"/>
  <c r="C19" i="12"/>
  <c r="D19" i="12"/>
  <c r="E19" i="12"/>
  <c r="F19" i="12"/>
  <c r="G19" i="12"/>
  <c r="H19" i="12"/>
  <c r="I19" i="12"/>
  <c r="B20" i="12"/>
  <c r="C20" i="12"/>
  <c r="D20" i="12"/>
  <c r="E20" i="12"/>
  <c r="F20" i="12"/>
  <c r="G20" i="12"/>
  <c r="H20" i="12"/>
  <c r="I20" i="12"/>
  <c r="B7" i="11"/>
  <c r="B5" i="11"/>
  <c r="G5" i="11" s="1"/>
  <c r="D5" i="11"/>
  <c r="E5" i="11" s="1"/>
  <c r="B6" i="11"/>
  <c r="D6" i="11"/>
  <c r="E6" i="11" s="1"/>
  <c r="F6" i="11"/>
  <c r="G6" i="11"/>
  <c r="G7" i="11"/>
  <c r="D7" i="11"/>
  <c r="E7" i="11"/>
  <c r="F7" i="11"/>
  <c r="H7" i="11"/>
  <c r="I7" i="11"/>
  <c r="B8" i="11"/>
  <c r="D8" i="11"/>
  <c r="F8" i="11" s="1"/>
  <c r="B9" i="11"/>
  <c r="D9" i="11"/>
  <c r="G9" i="11" s="1"/>
  <c r="E9" i="11"/>
  <c r="H9" i="11" s="1"/>
  <c r="B10" i="11"/>
  <c r="D10" i="11"/>
  <c r="E10" i="11" s="1"/>
  <c r="B11" i="11"/>
  <c r="D11" i="11"/>
  <c r="F11" i="11" s="1"/>
  <c r="E11" i="11"/>
  <c r="I11" i="11" s="1"/>
  <c r="B12" i="11"/>
  <c r="D12" i="11"/>
  <c r="G12" i="11" s="1"/>
  <c r="E12" i="11"/>
  <c r="H12" i="11" s="1"/>
  <c r="F12" i="11"/>
  <c r="B13" i="11"/>
  <c r="D13" i="11"/>
  <c r="E13" i="11"/>
  <c r="H13" i="11" s="1"/>
  <c r="F13" i="11"/>
  <c r="G13" i="11"/>
  <c r="I13" i="11"/>
  <c r="C38" i="9"/>
  <c r="D38" i="9"/>
  <c r="E38" i="9"/>
  <c r="F38" i="9"/>
  <c r="G38" i="9"/>
  <c r="H38" i="9"/>
  <c r="I38" i="9"/>
  <c r="B18" i="9"/>
  <c r="F18" i="9"/>
  <c r="G18" i="9"/>
  <c r="H18" i="9"/>
  <c r="I18" i="9"/>
  <c r="E18" i="9"/>
  <c r="F16" i="9"/>
  <c r="G16" i="9"/>
  <c r="H16" i="9"/>
  <c r="I16" i="9"/>
  <c r="C11" i="8"/>
  <c r="F8" i="10"/>
  <c r="G8" i="10"/>
  <c r="H8" i="10"/>
  <c r="I8" i="10"/>
  <c r="E8" i="10"/>
  <c r="E9" i="10" s="1"/>
  <c r="F25" i="10"/>
  <c r="G25" i="10"/>
  <c r="H25" i="10"/>
  <c r="I25" i="10"/>
  <c r="E25" i="10"/>
  <c r="E23" i="10"/>
  <c r="F21" i="10"/>
  <c r="G21" i="10"/>
  <c r="H21" i="10"/>
  <c r="I21" i="10"/>
  <c r="E21" i="10"/>
  <c r="E18" i="10"/>
  <c r="F16" i="10"/>
  <c r="G16" i="10"/>
  <c r="H16" i="10"/>
  <c r="I16" i="10"/>
  <c r="E16" i="10"/>
  <c r="F14" i="10"/>
  <c r="G14" i="10"/>
  <c r="H14" i="10"/>
  <c r="I14" i="10"/>
  <c r="E14" i="10"/>
  <c r="F13" i="10"/>
  <c r="G13" i="10"/>
  <c r="H13" i="10"/>
  <c r="H15" i="10" s="1"/>
  <c r="I13" i="10"/>
  <c r="I15" i="10" s="1"/>
  <c r="E13" i="10"/>
  <c r="E15" i="10" s="1"/>
  <c r="F12" i="10"/>
  <c r="F15" i="10" s="1"/>
  <c r="G12" i="10"/>
  <c r="G15" i="10" s="1"/>
  <c r="H12" i="10"/>
  <c r="I12" i="10"/>
  <c r="E12" i="10"/>
  <c r="F6" i="10"/>
  <c r="G6" i="10"/>
  <c r="H6" i="10"/>
  <c r="H9" i="10" s="1"/>
  <c r="I6" i="10"/>
  <c r="E6" i="10"/>
  <c r="F7" i="10"/>
  <c r="G7" i="10"/>
  <c r="H7" i="10"/>
  <c r="I7" i="10"/>
  <c r="F9" i="10"/>
  <c r="G9" i="10"/>
  <c r="E7" i="10"/>
  <c r="F5" i="10"/>
  <c r="G5" i="10"/>
  <c r="H5" i="10"/>
  <c r="I5" i="10"/>
  <c r="E5" i="10"/>
  <c r="F4" i="10"/>
  <c r="G4" i="10"/>
  <c r="H4" i="10"/>
  <c r="I4" i="10"/>
  <c r="E4" i="10"/>
  <c r="F33" i="9"/>
  <c r="G33" i="9"/>
  <c r="H33" i="9"/>
  <c r="I33" i="9"/>
  <c r="E33" i="9"/>
  <c r="E30" i="9"/>
  <c r="F26" i="9"/>
  <c r="G26" i="9"/>
  <c r="H26" i="9"/>
  <c r="I26" i="9"/>
  <c r="E26" i="9"/>
  <c r="F25" i="9"/>
  <c r="G25" i="9" s="1"/>
  <c r="H25" i="9" s="1"/>
  <c r="I25" i="9" s="1"/>
  <c r="E25" i="9"/>
  <c r="F24" i="9"/>
  <c r="G24" i="9"/>
  <c r="H24" i="9"/>
  <c r="I24" i="9"/>
  <c r="E24" i="9"/>
  <c r="F23" i="9"/>
  <c r="G23" i="9" s="1"/>
  <c r="H23" i="9" s="1"/>
  <c r="I23" i="9" s="1"/>
  <c r="E23" i="9"/>
  <c r="F22" i="9"/>
  <c r="G22" i="9"/>
  <c r="H22" i="9"/>
  <c r="I22" i="9"/>
  <c r="E22" i="9"/>
  <c r="F15" i="9"/>
  <c r="G15" i="9"/>
  <c r="H15" i="9"/>
  <c r="I15" i="9"/>
  <c r="E15" i="9"/>
  <c r="F13" i="9"/>
  <c r="G13" i="9"/>
  <c r="H13" i="9"/>
  <c r="I13" i="9"/>
  <c r="E13" i="9"/>
  <c r="F12" i="9"/>
  <c r="G12" i="9"/>
  <c r="H12" i="9"/>
  <c r="I12" i="9"/>
  <c r="E12" i="9"/>
  <c r="F9" i="9"/>
  <c r="G9" i="9" s="1"/>
  <c r="H9" i="9" s="1"/>
  <c r="I9" i="9" s="1"/>
  <c r="E9" i="9"/>
  <c r="E8" i="9"/>
  <c r="F8" i="9"/>
  <c r="G8" i="9"/>
  <c r="H8" i="9"/>
  <c r="I8" i="9"/>
  <c r="F7" i="9"/>
  <c r="G7" i="9" s="1"/>
  <c r="H7" i="9" s="1"/>
  <c r="I7" i="9" s="1"/>
  <c r="E7" i="9"/>
  <c r="E10" i="9" s="1"/>
  <c r="F6" i="9"/>
  <c r="G6" i="9"/>
  <c r="H6" i="9"/>
  <c r="I6" i="9"/>
  <c r="E6" i="9"/>
  <c r="B38" i="9"/>
  <c r="C36" i="9"/>
  <c r="D36" i="9"/>
  <c r="B36" i="9"/>
  <c r="D33" i="9"/>
  <c r="D32" i="9"/>
  <c r="D31" i="9"/>
  <c r="D30" i="9"/>
  <c r="C34" i="9"/>
  <c r="C33" i="9" s="1"/>
  <c r="C31" i="9"/>
  <c r="C32" i="9"/>
  <c r="C30" i="9"/>
  <c r="B34" i="9"/>
  <c r="C27" i="9"/>
  <c r="D27" i="9"/>
  <c r="B27" i="9"/>
  <c r="C9" i="9"/>
  <c r="D9" i="9"/>
  <c r="B9" i="9"/>
  <c r="C10" i="9"/>
  <c r="D10" i="9"/>
  <c r="D18" i="9" s="1"/>
  <c r="B10" i="9"/>
  <c r="C18" i="9"/>
  <c r="C15" i="9"/>
  <c r="D15" i="9"/>
  <c r="B15" i="9"/>
  <c r="C16" i="9"/>
  <c r="D16" i="9"/>
  <c r="C12" i="9"/>
  <c r="D12" i="9"/>
  <c r="C13" i="9"/>
  <c r="D13" i="9"/>
  <c r="C14" i="9"/>
  <c r="D14" i="9"/>
  <c r="B16" i="9"/>
  <c r="B14" i="9"/>
  <c r="B13" i="9"/>
  <c r="B12" i="9"/>
  <c r="C7" i="9"/>
  <c r="D7" i="9"/>
  <c r="C8" i="9"/>
  <c r="D8" i="9"/>
  <c r="B8" i="9"/>
  <c r="B7" i="9"/>
  <c r="C6" i="9"/>
  <c r="D6" i="9"/>
  <c r="B6" i="9"/>
  <c r="F11" i="6"/>
  <c r="G11" i="6"/>
  <c r="H11" i="6"/>
  <c r="I11" i="6"/>
  <c r="E11" i="6"/>
  <c r="D15" i="8"/>
  <c r="D12" i="8"/>
  <c r="E12" i="8"/>
  <c r="F12" i="8"/>
  <c r="G12" i="8"/>
  <c r="C12" i="8"/>
  <c r="C7" i="8"/>
  <c r="D6" i="8"/>
  <c r="E6" i="8"/>
  <c r="E15" i="8" s="1"/>
  <c r="F6" i="8"/>
  <c r="F15" i="8" s="1"/>
  <c r="G6" i="8"/>
  <c r="G15" i="8" s="1"/>
  <c r="C6" i="8"/>
  <c r="C15" i="8" s="1"/>
  <c r="C5" i="8"/>
  <c r="B21" i="5"/>
  <c r="B20" i="5"/>
  <c r="B19" i="5"/>
  <c r="B17" i="8"/>
  <c r="B16" i="8"/>
  <c r="B15" i="8"/>
  <c r="B12" i="8"/>
  <c r="B11" i="8"/>
  <c r="B8" i="8"/>
  <c r="D14" i="7"/>
  <c r="E14" i="7"/>
  <c r="F14" i="7"/>
  <c r="G14" i="7"/>
  <c r="C14" i="7"/>
  <c r="C12" i="7"/>
  <c r="D11" i="7"/>
  <c r="E11" i="7"/>
  <c r="F11" i="7"/>
  <c r="C7" i="7"/>
  <c r="D6" i="7"/>
  <c r="E6" i="7"/>
  <c r="F6" i="7"/>
  <c r="G6" i="7"/>
  <c r="G11" i="7" s="1"/>
  <c r="C6" i="7"/>
  <c r="C9" i="7" s="1"/>
  <c r="D5" i="7" s="1"/>
  <c r="C5" i="7"/>
  <c r="C17" i="5"/>
  <c r="D17" i="5"/>
  <c r="E17" i="5"/>
  <c r="F17" i="5"/>
  <c r="G17" i="5"/>
  <c r="B17" i="5"/>
  <c r="B16" i="5"/>
  <c r="C16" i="5"/>
  <c r="D16" i="5"/>
  <c r="E16" i="5"/>
  <c r="F16" i="5"/>
  <c r="G16" i="5"/>
  <c r="B14" i="7"/>
  <c r="B13" i="7"/>
  <c r="B12" i="7"/>
  <c r="B11" i="7"/>
  <c r="B8" i="7"/>
  <c r="F16" i="6"/>
  <c r="G16" i="6"/>
  <c r="H16" i="6"/>
  <c r="I16" i="6"/>
  <c r="E16" i="6"/>
  <c r="H13" i="6"/>
  <c r="I13" i="6"/>
  <c r="F13" i="6"/>
  <c r="G13" i="6" s="1"/>
  <c r="E13" i="6"/>
  <c r="F9" i="6"/>
  <c r="G9" i="6"/>
  <c r="H9" i="6"/>
  <c r="I9" i="6"/>
  <c r="E9" i="6"/>
  <c r="E6" i="6"/>
  <c r="I6" i="6"/>
  <c r="F6" i="6"/>
  <c r="G6" i="6"/>
  <c r="H6" i="6"/>
  <c r="E5" i="6"/>
  <c r="E8" i="6" s="1"/>
  <c r="D20" i="6"/>
  <c r="C20" i="6"/>
  <c r="C16" i="6"/>
  <c r="D16" i="6"/>
  <c r="B16" i="6"/>
  <c r="D9" i="6"/>
  <c r="C9" i="6"/>
  <c r="B9" i="6"/>
  <c r="D6" i="6"/>
  <c r="C6" i="6"/>
  <c r="C19" i="6"/>
  <c r="D19" i="6"/>
  <c r="B19" i="6"/>
  <c r="C17" i="6"/>
  <c r="D17" i="6"/>
  <c r="B17" i="6"/>
  <c r="C15" i="6"/>
  <c r="D15" i="6"/>
  <c r="B15" i="6"/>
  <c r="B13" i="6" a="1"/>
  <c r="B13" i="6" s="1"/>
  <c r="C12" i="6"/>
  <c r="D12" i="6"/>
  <c r="B12" i="6"/>
  <c r="C11" i="6"/>
  <c r="D11" i="6"/>
  <c r="B11" i="6"/>
  <c r="C8" i="6"/>
  <c r="D8" i="6"/>
  <c r="B8" i="6"/>
  <c r="C5" i="6"/>
  <c r="D5" i="6"/>
  <c r="B5" i="6"/>
  <c r="D10" i="5"/>
  <c r="E10" i="5"/>
  <c r="F10" i="5"/>
  <c r="G10" i="5"/>
  <c r="C10" i="5"/>
  <c r="B13" i="5"/>
  <c r="B11" i="5"/>
  <c r="B9" i="5"/>
  <c r="B6" i="5"/>
  <c r="B12" i="5"/>
  <c r="B10" i="5"/>
  <c r="B8" i="5"/>
  <c r="B7" i="5"/>
  <c r="B8" i="4"/>
  <c r="C150" i="4"/>
  <c r="D150" i="4"/>
  <c r="C149" i="4"/>
  <c r="D149" i="4"/>
  <c r="C148" i="4"/>
  <c r="D148" i="4"/>
  <c r="B148" i="4"/>
  <c r="C147" i="4"/>
  <c r="D147" i="4"/>
  <c r="B147" i="4"/>
  <c r="C144" i="4"/>
  <c r="D144" i="4"/>
  <c r="C141" i="4"/>
  <c r="D141" i="4"/>
  <c r="C142" i="4"/>
  <c r="D142" i="4"/>
  <c r="C143" i="4"/>
  <c r="D143" i="4"/>
  <c r="B143" i="4"/>
  <c r="B142" i="4"/>
  <c r="B141" i="4"/>
  <c r="C140" i="4"/>
  <c r="D140" i="4"/>
  <c r="C139" i="4"/>
  <c r="D139" i="4"/>
  <c r="B139" i="4"/>
  <c r="C138" i="4"/>
  <c r="D138" i="4"/>
  <c r="B138" i="4"/>
  <c r="C137" i="4"/>
  <c r="D137" i="4"/>
  <c r="B137" i="4"/>
  <c r="C136" i="4"/>
  <c r="D136" i="4"/>
  <c r="C126" i="4"/>
  <c r="D126" i="4"/>
  <c r="B126" i="4"/>
  <c r="C127" i="4"/>
  <c r="D127" i="4"/>
  <c r="C128" i="4"/>
  <c r="D128" i="4"/>
  <c r="C129" i="4"/>
  <c r="D129" i="4"/>
  <c r="C130" i="4"/>
  <c r="D130" i="4"/>
  <c r="B128" i="4"/>
  <c r="B129" i="4"/>
  <c r="B130" i="4"/>
  <c r="B127" i="4"/>
  <c r="D125" i="3"/>
  <c r="C125" i="3"/>
  <c r="B125" i="3"/>
  <c r="D123" i="3"/>
  <c r="C123" i="3"/>
  <c r="B123" i="3"/>
  <c r="C115" i="4"/>
  <c r="D115" i="4"/>
  <c r="C116" i="4"/>
  <c r="D116" i="4"/>
  <c r="C117" i="4"/>
  <c r="D117" i="4"/>
  <c r="B117" i="4"/>
  <c r="B116" i="4"/>
  <c r="B115" i="4"/>
  <c r="C113" i="4"/>
  <c r="D113" i="4"/>
  <c r="C114" i="4"/>
  <c r="D114" i="4"/>
  <c r="B114" i="4"/>
  <c r="B113" i="4"/>
  <c r="C110" i="4"/>
  <c r="D110" i="4"/>
  <c r="C111" i="4"/>
  <c r="D111" i="4"/>
  <c r="C112" i="4"/>
  <c r="D112" i="4"/>
  <c r="B112" i="4"/>
  <c r="B111" i="4"/>
  <c r="B110" i="4"/>
  <c r="C121" i="4"/>
  <c r="C133" i="4" s="1"/>
  <c r="D121" i="4"/>
  <c r="C122" i="4"/>
  <c r="D122" i="4"/>
  <c r="C123" i="4"/>
  <c r="D123" i="4"/>
  <c r="C124" i="4"/>
  <c r="D124" i="4"/>
  <c r="C125" i="4"/>
  <c r="D125" i="4"/>
  <c r="C131" i="4"/>
  <c r="D131" i="4"/>
  <c r="C132" i="4"/>
  <c r="D132" i="4"/>
  <c r="B122" i="4"/>
  <c r="B123" i="4"/>
  <c r="B124" i="4"/>
  <c r="B125" i="4"/>
  <c r="B131" i="4"/>
  <c r="B132" i="4"/>
  <c r="B121" i="4"/>
  <c r="B133" i="4" s="1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B103" i="4"/>
  <c r="B104" i="4"/>
  <c r="B105" i="4"/>
  <c r="B106" i="4"/>
  <c r="B107" i="4"/>
  <c r="B108" i="4"/>
  <c r="B109" i="4"/>
  <c r="B102" i="4"/>
  <c r="B101" i="4"/>
  <c r="C97" i="4"/>
  <c r="D97" i="4"/>
  <c r="B9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B95" i="4"/>
  <c r="B94" i="4"/>
  <c r="B93" i="4"/>
  <c r="B92" i="4"/>
  <c r="B91" i="4"/>
  <c r="B90" i="4"/>
  <c r="B89" i="4"/>
  <c r="B88" i="4"/>
  <c r="C77" i="4"/>
  <c r="D77" i="4"/>
  <c r="B77" i="4"/>
  <c r="C73" i="4"/>
  <c r="D73" i="4"/>
  <c r="C74" i="4"/>
  <c r="D74" i="4"/>
  <c r="C75" i="4"/>
  <c r="D75" i="4"/>
  <c r="C76" i="4"/>
  <c r="D76" i="4"/>
  <c r="B76" i="4"/>
  <c r="B75" i="4"/>
  <c r="B74" i="4"/>
  <c r="B73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B66" i="4"/>
  <c r="B65" i="4"/>
  <c r="B64" i="4"/>
  <c r="B63" i="4"/>
  <c r="B62" i="4"/>
  <c r="B61" i="4"/>
  <c r="B6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B57" i="4"/>
  <c r="B56" i="4"/>
  <c r="B55" i="4"/>
  <c r="B54" i="4"/>
  <c r="B53" i="4"/>
  <c r="B52" i="4"/>
  <c r="B51" i="4"/>
  <c r="C40" i="4"/>
  <c r="D40" i="4"/>
  <c r="C41" i="4"/>
  <c r="D41" i="4"/>
  <c r="C42" i="4"/>
  <c r="D42" i="4"/>
  <c r="C43" i="4"/>
  <c r="D43" i="4"/>
  <c r="C44" i="4"/>
  <c r="D44" i="4"/>
  <c r="C45" i="4"/>
  <c r="D45" i="4"/>
  <c r="B45" i="4"/>
  <c r="B44" i="4"/>
  <c r="B43" i="4"/>
  <c r="B42" i="4"/>
  <c r="B41" i="4"/>
  <c r="B40" i="4"/>
  <c r="C39" i="4"/>
  <c r="D39" i="4"/>
  <c r="B3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B36" i="4"/>
  <c r="B35" i="4"/>
  <c r="B34" i="4"/>
  <c r="B33" i="4"/>
  <c r="B32" i="4"/>
  <c r="B31" i="4"/>
  <c r="B30" i="4"/>
  <c r="C29" i="4"/>
  <c r="D29" i="4"/>
  <c r="B29" i="4"/>
  <c r="C21" i="4"/>
  <c r="D21" i="4"/>
  <c r="B21" i="4"/>
  <c r="B18" i="4"/>
  <c r="C18" i="4"/>
  <c r="D18" i="4"/>
  <c r="C13" i="4"/>
  <c r="D13" i="4"/>
  <c r="C14" i="4"/>
  <c r="D14" i="4"/>
  <c r="C15" i="4"/>
  <c r="D15" i="4"/>
  <c r="B15" i="4"/>
  <c r="B14" i="4"/>
  <c r="B13" i="4"/>
  <c r="B10" i="4"/>
  <c r="C10" i="4"/>
  <c r="D10" i="4"/>
  <c r="C9" i="4"/>
  <c r="D9" i="4"/>
  <c r="B9" i="4"/>
  <c r="C8" i="4"/>
  <c r="D8" i="4"/>
  <c r="C6" i="4"/>
  <c r="D6" i="4"/>
  <c r="B6" i="4"/>
  <c r="D68" i="3"/>
  <c r="C68" i="3"/>
  <c r="B68" i="3"/>
  <c r="F9" i="19" l="1"/>
  <c r="C33" i="13"/>
  <c r="C34" i="13" s="1"/>
  <c r="C24" i="13"/>
  <c r="D24" i="13"/>
  <c r="C56" i="13"/>
  <c r="C39" i="13"/>
  <c r="C49" i="13" s="1"/>
  <c r="C50" i="13" s="1"/>
  <c r="C52" i="13" s="1"/>
  <c r="D39" i="13"/>
  <c r="D49" i="13" s="1"/>
  <c r="D50" i="13" s="1"/>
  <c r="D51" i="13" s="1"/>
  <c r="H10" i="11"/>
  <c r="I10" i="11"/>
  <c r="H6" i="11"/>
  <c r="I6" i="11"/>
  <c r="H5" i="11"/>
  <c r="I5" i="11"/>
  <c r="I12" i="11"/>
  <c r="H11" i="11"/>
  <c r="G10" i="11"/>
  <c r="F9" i="11"/>
  <c r="E8" i="11"/>
  <c r="G11" i="11"/>
  <c r="F10" i="11"/>
  <c r="F5" i="11"/>
  <c r="I9" i="11"/>
  <c r="G8" i="11"/>
  <c r="I9" i="10"/>
  <c r="I10" i="9"/>
  <c r="H10" i="9"/>
  <c r="G10" i="9"/>
  <c r="F10" i="9"/>
  <c r="C11" i="7"/>
  <c r="C16" i="8"/>
  <c r="D7" i="7"/>
  <c r="D12" i="7" s="1"/>
  <c r="D9" i="7"/>
  <c r="C13" i="7"/>
  <c r="F5" i="6"/>
  <c r="B118" i="4"/>
  <c r="C118" i="4"/>
  <c r="D118" i="4"/>
  <c r="C7" i="4"/>
  <c r="C67" i="4"/>
  <c r="D11" i="4"/>
  <c r="D12" i="4" s="1"/>
  <c r="B58" i="4"/>
  <c r="C11" i="4"/>
  <c r="C87" i="4" s="1"/>
  <c r="C96" i="4" s="1"/>
  <c r="C98" i="4" s="1"/>
  <c r="D133" i="4"/>
  <c r="C58" i="4"/>
  <c r="D67" i="4"/>
  <c r="B37" i="4"/>
  <c r="D58" i="4"/>
  <c r="D68" i="4" s="1"/>
  <c r="D37" i="4"/>
  <c r="C37" i="4"/>
  <c r="C46" i="4"/>
  <c r="B78" i="4"/>
  <c r="B79" i="4" s="1"/>
  <c r="B46" i="4"/>
  <c r="D46" i="4"/>
  <c r="B67" i="4"/>
  <c r="D78" i="4"/>
  <c r="D79" i="4" s="1"/>
  <c r="B11" i="4"/>
  <c r="B12" i="4" s="1"/>
  <c r="C78" i="4"/>
  <c r="C79" i="4" s="1"/>
  <c r="D7" i="4"/>
  <c r="D5" i="19" l="1"/>
  <c r="A5" i="19" s="1"/>
  <c r="E5" i="19"/>
  <c r="B24" i="13"/>
  <c r="B39" i="13"/>
  <c r="B49" i="13" s="1"/>
  <c r="B50" i="13" s="1"/>
  <c r="B52" i="13" s="1"/>
  <c r="D52" i="13"/>
  <c r="D53" i="13" s="1"/>
  <c r="D55" i="13" s="1"/>
  <c r="C51" i="13"/>
  <c r="C53" i="13" s="1"/>
  <c r="C55" i="13" s="1"/>
  <c r="H8" i="11"/>
  <c r="I8" i="11"/>
  <c r="E5" i="7"/>
  <c r="D13" i="7"/>
  <c r="G5" i="6"/>
  <c r="F8" i="6"/>
  <c r="C68" i="4"/>
  <c r="B68" i="4"/>
  <c r="D47" i="4"/>
  <c r="D70" i="4" s="1"/>
  <c r="D87" i="4"/>
  <c r="D96" i="4" s="1"/>
  <c r="D98" i="4" s="1"/>
  <c r="D16" i="4"/>
  <c r="D19" i="4" s="1"/>
  <c r="B16" i="4"/>
  <c r="B17" i="4" s="1"/>
  <c r="B87" i="4"/>
  <c r="B96" i="4" s="1"/>
  <c r="B98" i="4" s="1"/>
  <c r="C12" i="4"/>
  <c r="C16" i="4"/>
  <c r="C19" i="4" s="1"/>
  <c r="B47" i="4"/>
  <c r="C47" i="4"/>
  <c r="B51" i="13" l="1"/>
  <c r="B53" i="13" s="1"/>
  <c r="B55" i="13" s="1"/>
  <c r="E7" i="7"/>
  <c r="E12" i="7" s="1"/>
  <c r="H5" i="6"/>
  <c r="G8" i="6"/>
  <c r="B150" i="4"/>
  <c r="B149" i="4"/>
  <c r="B136" i="4"/>
  <c r="B140" i="4" s="1"/>
  <c r="B144" i="4" s="1"/>
  <c r="D81" i="4"/>
  <c r="D17" i="4"/>
  <c r="D20" i="4"/>
  <c r="D22" i="4" s="1"/>
  <c r="D23" i="4" s="1"/>
  <c r="B19" i="4"/>
  <c r="B20" i="4"/>
  <c r="B22" i="4" s="1"/>
  <c r="B23" i="4" s="1"/>
  <c r="C17" i="4"/>
  <c r="C20" i="4"/>
  <c r="C22" i="4" s="1"/>
  <c r="C23" i="4" s="1"/>
  <c r="C70" i="4"/>
  <c r="C81" i="4"/>
  <c r="B81" i="4"/>
  <c r="B70" i="4"/>
  <c r="E9" i="7" l="1"/>
  <c r="H8" i="6"/>
  <c r="I5" i="6"/>
  <c r="I8" i="6" s="1"/>
  <c r="F5" i="7" l="1"/>
  <c r="E13" i="7"/>
  <c r="F7" i="7" l="1"/>
  <c r="F12" i="7" s="1"/>
  <c r="F9" i="7"/>
  <c r="G5" i="7" l="1"/>
  <c r="F13" i="7"/>
  <c r="G7" i="7" l="1"/>
  <c r="G12" i="7" s="1"/>
  <c r="G9" i="7" l="1"/>
  <c r="G13" i="7" s="1"/>
  <c r="C13" i="8"/>
  <c r="E12" i="6" l="1"/>
  <c r="E15" i="6" s="1"/>
  <c r="E19" i="10"/>
  <c r="E17" i="6" l="1"/>
  <c r="E10" i="10" s="1"/>
  <c r="E11" i="10" s="1"/>
  <c r="E19" i="6" l="1"/>
  <c r="E31" i="9" l="1"/>
  <c r="E20" i="6"/>
  <c r="E32" i="9" l="1"/>
  <c r="E20" i="10" s="1"/>
  <c r="E17" i="10" s="1"/>
  <c r="C14" i="8" s="1"/>
  <c r="E34" i="9" l="1"/>
  <c r="E22" i="10"/>
  <c r="E24" i="10" s="1"/>
  <c r="E26" i="10" s="1"/>
  <c r="C9" i="8"/>
  <c r="D5" i="8" l="1"/>
  <c r="E21" i="9"/>
  <c r="E27" i="9" s="1"/>
  <c r="E36" i="9" s="1"/>
  <c r="C17" i="8"/>
  <c r="F23" i="10"/>
  <c r="E14" i="9"/>
  <c r="E16" i="9" s="1"/>
  <c r="D7" i="8"/>
  <c r="F30" i="9"/>
  <c r="D11" i="8" l="1"/>
  <c r="D13" i="8" s="1"/>
  <c r="F12" i="6"/>
  <c r="F15" i="6" s="1"/>
  <c r="F19" i="10"/>
  <c r="D16" i="8"/>
  <c r="F18" i="10"/>
  <c r="F17" i="6" l="1"/>
  <c r="F10" i="10" s="1"/>
  <c r="F11" i="10" s="1"/>
  <c r="F19" i="6" l="1"/>
  <c r="F20" i="6" l="1"/>
  <c r="F31" i="9"/>
  <c r="F32" i="9" l="1"/>
  <c r="F20" i="10" s="1"/>
  <c r="F17" i="10" s="1"/>
  <c r="D14" i="8" s="1"/>
  <c r="D9" i="8" s="1"/>
  <c r="F34" i="9"/>
  <c r="E5" i="8" l="1"/>
  <c r="F21" i="9"/>
  <c r="F27" i="9" s="1"/>
  <c r="D17" i="8"/>
  <c r="F22" i="10"/>
  <c r="F24" i="10" s="1"/>
  <c r="F26" i="10" s="1"/>
  <c r="G30" i="9"/>
  <c r="F36" i="9"/>
  <c r="E7" i="8"/>
  <c r="E11" i="8" s="1"/>
  <c r="E13" i="8" s="1"/>
  <c r="G23" i="10" l="1"/>
  <c r="F14" i="9"/>
  <c r="G12" i="6"/>
  <c r="G15" i="6" s="1"/>
  <c r="G19" i="10"/>
  <c r="G18" i="10"/>
  <c r="E16" i="8"/>
  <c r="G17" i="6" l="1"/>
  <c r="G10" i="10" s="1"/>
  <c r="G11" i="10" s="1"/>
  <c r="G19" i="6"/>
  <c r="G20" i="6" l="1"/>
  <c r="G31" i="9"/>
  <c r="G32" i="9" l="1"/>
  <c r="G20" i="10" s="1"/>
  <c r="G17" i="10" s="1"/>
  <c r="G22" i="10" s="1"/>
  <c r="G24" i="10" s="1"/>
  <c r="G26" i="10" s="1"/>
  <c r="G34" i="9"/>
  <c r="E14" i="8"/>
  <c r="E9" i="8" s="1"/>
  <c r="F5" i="8" l="1"/>
  <c r="E17" i="8"/>
  <c r="G21" i="9"/>
  <c r="G27" i="9" s="1"/>
  <c r="H23" i="10"/>
  <c r="G14" i="9"/>
  <c r="H30" i="9"/>
  <c r="G36" i="9"/>
  <c r="F7" i="8"/>
  <c r="F11" i="8" s="1"/>
  <c r="F13" i="8" s="1"/>
  <c r="H19" i="10" l="1"/>
  <c r="H12" i="6"/>
  <c r="H15" i="6" s="1"/>
  <c r="F16" i="8"/>
  <c r="H18" i="10"/>
  <c r="H17" i="6" l="1"/>
  <c r="H10" i="10" s="1"/>
  <c r="H11" i="10" s="1"/>
  <c r="H19" i="6"/>
  <c r="H20" i="6" l="1"/>
  <c r="H31" i="9"/>
  <c r="H32" i="9" l="1"/>
  <c r="H20" i="10" s="1"/>
  <c r="H17" i="10" s="1"/>
  <c r="F14" i="8" s="1"/>
  <c r="F9" i="8" s="1"/>
  <c r="G5" i="8" l="1"/>
  <c r="F17" i="8"/>
  <c r="H21" i="9"/>
  <c r="H27" i="9" s="1"/>
  <c r="H22" i="10"/>
  <c r="H24" i="10" s="1"/>
  <c r="H26" i="10" s="1"/>
  <c r="H34" i="9"/>
  <c r="G7" i="8"/>
  <c r="G11" i="8" s="1"/>
  <c r="G13" i="8" s="1"/>
  <c r="I23" i="10" l="1"/>
  <c r="H14" i="9"/>
  <c r="H36" i="9"/>
  <c r="I30" i="9"/>
  <c r="I12" i="6"/>
  <c r="I15" i="6" s="1"/>
  <c r="I19" i="10"/>
  <c r="G16" i="8"/>
  <c r="I18" i="10"/>
  <c r="I17" i="6" l="1"/>
  <c r="I10" i="10" s="1"/>
  <c r="I11" i="10" s="1"/>
  <c r="I19" i="6"/>
  <c r="I20" i="6" l="1"/>
  <c r="I31" i="9"/>
  <c r="I32" i="9" l="1"/>
  <c r="I20" i="10" s="1"/>
  <c r="I17" i="10" s="1"/>
  <c r="I22" i="10" s="1"/>
  <c r="I24" i="10" s="1"/>
  <c r="I26" i="10" s="1"/>
  <c r="I14" i="9" s="1"/>
  <c r="I34" i="9"/>
  <c r="G14" i="8"/>
  <c r="G9" i="8" s="1"/>
  <c r="I21" i="9" l="1"/>
  <c r="I27" i="9" s="1"/>
  <c r="G17" i="8"/>
  <c r="I36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<sst xmlns="http://schemas.openxmlformats.org/spreadsheetml/2006/main" count="803" uniqueCount="517">
  <si>
    <t>National Grid PLC</t>
  </si>
  <si>
    <t>FP&amp;A, Three-Statement Financial Model &amp; Valuation Case Study</t>
  </si>
  <si>
    <t>Model Version</t>
  </si>
  <si>
    <t>Last updated</t>
  </si>
  <si>
    <t>Reporting currency</t>
  </si>
  <si>
    <t>Historical period</t>
  </si>
  <si>
    <t>Forecast Period</t>
  </si>
  <si>
    <t>FY2027E - FY2031E</t>
  </si>
  <si>
    <t>Fiscal Year End</t>
  </si>
  <si>
    <t>Model Objective</t>
  </si>
  <si>
    <t>Build an integrated FP&amp;A and financial modelling case study for National Grid plc using publicly available financial information. The model analyses historical performance, forecasts earnings and cash flows using business-specific operating drivers, models capital investment and financing requirements, evaluates scenarios and sensitivities, and presents key outputs through a management dashboard.</t>
  </si>
  <si>
    <t>Core model outputs</t>
  </si>
  <si>
    <t>Historical three-statement analysis</t>
  </si>
  <si>
    <t>Revenue and operating profit forecasting</t>
  </si>
  <si>
    <t>Segment analysis</t>
  </si>
  <si>
    <t>Capital investment and PP&amp;E schedule</t>
  </si>
  <si>
    <t>Working capital forecasting</t>
  </si>
  <si>
    <t>Debt and interest schedule</t>
  </si>
  <si>
    <t>Free cash flow analysis</t>
  </si>
  <si>
    <t>Actual vs Budget vs Forecast analysis</t>
  </si>
  <si>
    <t>KPI and ratio analysis</t>
  </si>
  <si>
    <t>Base / Upside / Downside scenarios</t>
  </si>
  <si>
    <t>DCF valuation</t>
  </si>
  <si>
    <t>Sensitivity analysis</t>
  </si>
  <si>
    <t>Management dashboard</t>
  </si>
  <si>
    <t>Model integrity checks</t>
  </si>
  <si>
    <t>Modelling and formatting conventions</t>
  </si>
  <si>
    <t>Item</t>
  </si>
  <si>
    <t>Convention</t>
  </si>
  <si>
    <t>Hardcoded inputs</t>
  </si>
  <si>
    <t>Blue font</t>
  </si>
  <si>
    <t>Formulas</t>
  </si>
  <si>
    <t>Black font</t>
  </si>
  <si>
    <t>Links to other worksheets</t>
  </si>
  <si>
    <t>Green font</t>
  </si>
  <si>
    <t>Key assumptions</t>
  </si>
  <si>
    <t>Blue font with pale yellow fill</t>
  </si>
  <si>
    <t>Negative values</t>
  </si>
  <si>
    <r>
      <t xml:space="preserve">Display in brackets, e.g. </t>
    </r>
    <r>
      <rPr>
        <sz val="10"/>
        <color theme="1"/>
        <rFont val="Arial Unicode MS"/>
        <family val="2"/>
      </rPr>
      <t>(1,705)</t>
    </r>
  </si>
  <si>
    <t>Zero values</t>
  </si>
  <si>
    <t>Financial units</t>
  </si>
  <si>
    <t>£m unless otherwise stated</t>
  </si>
  <si>
    <t>Historical years</t>
  </si>
  <si>
    <r>
      <t xml:space="preserve">Marked with </t>
    </r>
    <r>
      <rPr>
        <sz val="10"/>
        <color theme="1"/>
        <rFont val="Arial Unicode MS"/>
        <family val="2"/>
      </rPr>
      <t>A</t>
    </r>
  </si>
  <si>
    <t>Forecast years</t>
  </si>
  <si>
    <r>
      <t xml:space="preserve">Marked with </t>
    </r>
    <r>
      <rPr>
        <sz val="10"/>
        <color theme="1"/>
        <rFont val="Arial Unicode MS"/>
        <family val="2"/>
      </rPr>
      <t>E</t>
    </r>
  </si>
  <si>
    <r>
      <t>Display as (</t>
    </r>
    <r>
      <rPr>
        <sz val="10"/>
        <color theme="1"/>
        <rFont val="Arial Unicode MS"/>
        <family val="2"/>
      </rPr>
      <t>-)</t>
    </r>
  </si>
  <si>
    <t>GBP (£m unless otherwise stated)</t>
  </si>
  <si>
    <t>NATIONAL GRID PLC — MODEL CONTROL</t>
  </si>
  <si>
    <t>Active Scenario</t>
  </si>
  <si>
    <t>Base</t>
  </si>
  <si>
    <t>Reporting Currency</t>
  </si>
  <si>
    <t>GBP</t>
  </si>
  <si>
    <t>Financial Units</t>
  </si>
  <si>
    <t>£m</t>
  </si>
  <si>
    <t>Last Historical Year</t>
  </si>
  <si>
    <t>Forecast start year</t>
  </si>
  <si>
    <t>Forecast end year</t>
  </si>
  <si>
    <t>Upside</t>
  </si>
  <si>
    <t>Dowside</t>
  </si>
  <si>
    <t>NATIONAL GRID PLC — RAW FINANCIAL DATA</t>
  </si>
  <si>
    <t>Primary Source</t>
  </si>
  <si>
    <t>National Grid plc Annual Report and Accounts 2025/26</t>
  </si>
  <si>
    <t>CONSOLIDATED INCOME STATEMENT</t>
  </si>
  <si>
    <t>Income Statement (£m)</t>
  </si>
  <si>
    <t>FY2024A</t>
  </si>
  <si>
    <t>FY2025A</t>
  </si>
  <si>
    <t>FY2026A</t>
  </si>
  <si>
    <t>Revenue</t>
  </si>
  <si>
    <t>Impairment losses on financial assets</t>
  </si>
  <si>
    <t>Other operating costs</t>
  </si>
  <si>
    <t>Other operating income</t>
  </si>
  <si>
    <t>Operating profit</t>
  </si>
  <si>
    <t>Finance income</t>
  </si>
  <si>
    <t>Finance costs</t>
  </si>
  <si>
    <t>Share of JV &amp; associate results</t>
  </si>
  <si>
    <t>Profit before tax</t>
  </si>
  <si>
    <t>Tax</t>
  </si>
  <si>
    <t>Profit after tax – continuing operations</t>
  </si>
  <si>
    <t>Profit after tax – discontinued operations</t>
  </si>
  <si>
    <t>Total profit for the year</t>
  </si>
  <si>
    <t>CONSOLIDATED BALANCE SHEET</t>
  </si>
  <si>
    <t>Balance Sheet (£m)</t>
  </si>
  <si>
    <t>Goodwill</t>
  </si>
  <si>
    <t>Other intangible assets</t>
  </si>
  <si>
    <t>Property, plant &amp; equipment</t>
  </si>
  <si>
    <t>Other non-current assets</t>
  </si>
  <si>
    <t>Pension assets</t>
  </si>
  <si>
    <t>Financial &amp; other investments</t>
  </si>
  <si>
    <t>Investments in JV &amp; associates</t>
  </si>
  <si>
    <t>Derivative financial assets – non-current</t>
  </si>
  <si>
    <t>Total non-current assets</t>
  </si>
  <si>
    <t>Non-Current Assets</t>
  </si>
  <si>
    <t>Current Assets</t>
  </si>
  <si>
    <t>Inventories</t>
  </si>
  <si>
    <t>Trade &amp; other receivables</t>
  </si>
  <si>
    <t>Current tax assets</t>
  </si>
  <si>
    <t>Financial &amp; other investments – current</t>
  </si>
  <si>
    <t>Derivative financial assets – current</t>
  </si>
  <si>
    <t>Cash &amp; cash equivalents</t>
  </si>
  <si>
    <t>Assets held for sale</t>
  </si>
  <si>
    <t>Total current assets</t>
  </si>
  <si>
    <t>TOTAL ASSETS</t>
  </si>
  <si>
    <t>Balance Sheet</t>
  </si>
  <si>
    <t>Current borrowings</t>
  </si>
  <si>
    <t>Derivative financial liabilities – current</t>
  </si>
  <si>
    <t>Trade &amp; other payables</t>
  </si>
  <si>
    <t>Contract liabilities – current</t>
  </si>
  <si>
    <t>Current tax liabilities</t>
  </si>
  <si>
    <t>Provisions – current</t>
  </si>
  <si>
    <t>Liabilities held for sale</t>
  </si>
  <si>
    <t>Total current liabilities</t>
  </si>
  <si>
    <t>ASSETS</t>
  </si>
  <si>
    <t>LIABILITIES</t>
  </si>
  <si>
    <t>Current Liabilities</t>
  </si>
  <si>
    <t>Non-Current Liabilities</t>
  </si>
  <si>
    <t>Non-current borrowings</t>
  </si>
  <si>
    <t>Derivative financial liabilities – non-current</t>
  </si>
  <si>
    <t>Other non-current liabilities</t>
  </si>
  <si>
    <t>Contract liabilities – non-current</t>
  </si>
  <si>
    <t>Deferred tax liabilities</t>
  </si>
  <si>
    <t>Pension obligations</t>
  </si>
  <si>
    <t>Provisions – non-current</t>
  </si>
  <si>
    <t>Total non-current liabilities</t>
  </si>
  <si>
    <t>TOTAL LIABILITIES</t>
  </si>
  <si>
    <t>Net Assets</t>
  </si>
  <si>
    <t>EQUITY</t>
  </si>
  <si>
    <t>Share capital</t>
  </si>
  <si>
    <t>Share premium account</t>
  </si>
  <si>
    <t>Retained earnings</t>
  </si>
  <si>
    <t>Other equity reserves</t>
  </si>
  <si>
    <t>Total shareholders' equity</t>
  </si>
  <si>
    <t>Non-controlling interests</t>
  </si>
  <si>
    <t>TOTAL EQUITY</t>
  </si>
  <si>
    <t>CONSOLIDATED CASH FLOW STATEMENT</t>
  </si>
  <si>
    <t>Cash Flow Statement (£)</t>
  </si>
  <si>
    <t>OPERATING ACTIVITIES</t>
  </si>
  <si>
    <t>Operating profit – continuing operations</t>
  </si>
  <si>
    <t>Exceptional items and remeasurements</t>
  </si>
  <si>
    <t>Other fair value movements</t>
  </si>
  <si>
    <t>Depreciation, amortisation &amp; impairment</t>
  </si>
  <si>
    <t>Share-based payments</t>
  </si>
  <si>
    <t>Changes in working capital</t>
  </si>
  <si>
    <t>Changes in provisions</t>
  </si>
  <si>
    <t>Changes in pensions &amp; post-retirement obligations</t>
  </si>
  <si>
    <t>Cash flows relating to exceptional items</t>
  </si>
  <si>
    <t>Cash generated from operations</t>
  </si>
  <si>
    <t>Tax paid</t>
  </si>
  <si>
    <t>Net cash inflow from operating activities</t>
  </si>
  <si>
    <t>INVESTING ACTIVITIES</t>
  </si>
  <si>
    <t>Purchases of intangible assets</t>
  </si>
  <si>
    <t>Purchases of property, plant &amp; equipment</t>
  </si>
  <si>
    <t>Disposals of PP&amp;E</t>
  </si>
  <si>
    <t>Dividends received from JV, associates &amp; other investments</t>
  </si>
  <si>
    <t>Disposal of UK Electricity System Operator</t>
  </si>
  <si>
    <t>Disposal of UK Gas Transmission interest</t>
  </si>
  <si>
    <t>Disposal of National Grid Renewables</t>
  </si>
  <si>
    <t>Disposal of Grain LNG</t>
  </si>
  <si>
    <t>Net movements in short-term financial investments</t>
  </si>
  <si>
    <t>Interest received</t>
  </si>
  <si>
    <t>Net cash flow used in investing activities – continuing operations</t>
  </si>
  <si>
    <t>FINANCING ACTIVITIES</t>
  </si>
  <si>
    <t>Proceeds of Rights Issue</t>
  </si>
  <si>
    <t>Rights Issue transaction fees</t>
  </si>
  <si>
    <t>Proceeds received from loans</t>
  </si>
  <si>
    <t>Repayment of loans</t>
  </si>
  <si>
    <t>Payments of lease liabilities</t>
  </si>
  <si>
    <t>Net movements in short-term borrowings</t>
  </si>
  <si>
    <t>Interest paid</t>
  </si>
  <si>
    <t>Dividends paid to shareholders</t>
  </si>
  <si>
    <t>Net cash flow from/(used in) financing activities</t>
  </si>
  <si>
    <t>Net increase/(decrease) in cash &amp; cash equivalents</t>
  </si>
  <si>
    <t>Reclassification to held for sale</t>
  </si>
  <si>
    <t>Exchange movements</t>
  </si>
  <si>
    <t>Cash &amp; cash equivalents at start of year</t>
  </si>
  <si>
    <t>Cash &amp; cash equivalents at end of year</t>
  </si>
  <si>
    <t>FY2024A - FY2026A</t>
  </si>
  <si>
    <t>NATIONAL GRID PLC — HISTORICAL FINANCIAL STATEMENTS &amp; ANALYSIS</t>
  </si>
  <si>
    <t>Historical Financials (£m)</t>
  </si>
  <si>
    <t>INCOME STATEMENT</t>
  </si>
  <si>
    <t>Revenue growth</t>
  </si>
  <si>
    <t>Operating margin</t>
  </si>
  <si>
    <t>PBT margin</t>
  </si>
  <si>
    <t>Effective tax rate</t>
  </si>
  <si>
    <t>Net profit margin</t>
  </si>
  <si>
    <t>BALANCE SHEET</t>
  </si>
  <si>
    <t>NCI</t>
  </si>
  <si>
    <t>Balance sheet check</t>
  </si>
  <si>
    <t>CASH FLOW STATEMENT</t>
  </si>
  <si>
    <t>Net cash flow used in investing activities</t>
  </si>
  <si>
    <t>Disposal of financial &amp; other investments</t>
  </si>
  <si>
    <t>Acquisition of financial investments</t>
  </si>
  <si>
    <t>Contributions to National Grid Renewables &amp; Emerald Energy Venture LLC</t>
  </si>
  <si>
    <t>Cash inflows on derivatives</t>
  </si>
  <si>
    <t>Cash outflows on derivatives</t>
  </si>
  <si>
    <t>Proceeds from issue of treasury shares</t>
  </si>
  <si>
    <t>Transactions in own shares</t>
  </si>
  <si>
    <t>Net cash inflow from investing activities – discontinued operations</t>
  </si>
  <si>
    <t>CASH RECONCILIATION</t>
  </si>
  <si>
    <t>Net operating cash flow – continuing operations</t>
  </si>
  <si>
    <t>Net investing cash flow – continuing operations</t>
  </si>
  <si>
    <t>Net investing cash flow – discontinued operations</t>
  </si>
  <si>
    <t>Net financing cash flow</t>
  </si>
  <si>
    <t>HISTORICAL CASH FLOW KPIs</t>
  </si>
  <si>
    <t>KPI</t>
  </si>
  <si>
    <t>Core cash capex</t>
  </si>
  <si>
    <t>Capex intensity</t>
  </si>
  <si>
    <t>Free cash flow after core capex</t>
  </si>
  <si>
    <t>Operating cash conversion</t>
  </si>
  <si>
    <t>NATIONAL GRID PLC — FORECAST DRIVERS &amp; ASSUMPTIONS</t>
  </si>
  <si>
    <t>Forecast Drivers</t>
  </si>
  <si>
    <t>CORE OPERATING DRIVERS</t>
  </si>
  <si>
    <t>Core cash capex (£m)</t>
  </si>
  <si>
    <t>Group asset growth</t>
  </si>
  <si>
    <t>Underlying EPS growth – sanity check</t>
  </si>
  <si>
    <t>FY2027E</t>
  </si>
  <si>
    <t>FY2028E</t>
  </si>
  <si>
    <t>FY2029E</t>
  </si>
  <si>
    <t>FY2030E</t>
  </si>
  <si>
    <t>FY2031E</t>
  </si>
  <si>
    <t>Capital Investment (£m)</t>
  </si>
  <si>
    <t>Capital investment (£m)</t>
  </si>
  <si>
    <t xml:space="preserve">Rationale/source </t>
  </si>
  <si>
    <t>Model base-case assumption</t>
  </si>
  <si>
    <t>Normalised statutory tax assumption</t>
  </si>
  <si>
    <t>Derived from FY26 cash capex / capital investment ratio</t>
  </si>
  <si>
    <t>National Grid FY26 five-year financial framework</t>
  </si>
  <si>
    <t>Model-calculated KPI</t>
  </si>
  <si>
    <t>Management guidance: ~10% asset CAGR</t>
  </si>
  <si>
    <t>FY27 guidance: 13–15%; five-year guidance: 8–10% CAGR</t>
  </si>
  <si>
    <t>NATIONAL GRID PLC — INCOME STATEMENT FORECAST</t>
  </si>
  <si>
    <t>Revenue Growth</t>
  </si>
  <si>
    <t>Share of JV &amp; associates</t>
  </si>
  <si>
    <t>Tax expense</t>
  </si>
  <si>
    <t>Profit after tax</t>
  </si>
  <si>
    <t>YoY PAT growth</t>
  </si>
  <si>
    <t>NATIONAL GRID PLC — CAPEX &amp; PP&amp;E SCHEDULE</t>
  </si>
  <si>
    <t>PP&amp;E Schedule (£m)</t>
  </si>
  <si>
    <t>Opening PP&amp;E</t>
  </si>
  <si>
    <t>PP&amp;E additions</t>
  </si>
  <si>
    <t>Depreciation</t>
  </si>
  <si>
    <t>FX / disposals / other</t>
  </si>
  <si>
    <t>Closing PP&amp;E</t>
  </si>
  <si>
    <t>PP&amp;E additions / Capital investment</t>
  </si>
  <si>
    <t>Depreciation rate</t>
  </si>
  <si>
    <t>Implied PP&amp;E growth</t>
  </si>
  <si>
    <t>Group asset growth — guidance check</t>
  </si>
  <si>
    <t>Depreciation rate on opening PP&amp;E</t>
  </si>
  <si>
    <t>NATIONAL GRID PLC — DEBT &amp; INTEREST SCHEDULE</t>
  </si>
  <si>
    <t>Debt Schedule (£m)</t>
  </si>
  <si>
    <t>Opening gross debt</t>
  </si>
  <si>
    <t>Debt repayments</t>
  </si>
  <si>
    <t>FX / fair value / other movements</t>
  </si>
  <si>
    <t>Closing gross debt</t>
  </si>
  <si>
    <t>Average gross debt</t>
  </si>
  <si>
    <t>Effective interest rate</t>
  </si>
  <si>
    <t>Finance cost</t>
  </si>
  <si>
    <t>New borrowings / Capital investment</t>
  </si>
  <si>
    <t>Debt repayment % of opening debt</t>
  </si>
  <si>
    <t>Gross debt growth</t>
  </si>
  <si>
    <t>NATIONAL GRID PLC — BALANCE SHEET FORECAST</t>
  </si>
  <si>
    <t>PP&amp;E</t>
  </si>
  <si>
    <t>Other current assets</t>
  </si>
  <si>
    <t>Borrowings</t>
  </si>
  <si>
    <t>Contract liabilities</t>
  </si>
  <si>
    <t>Provisions &amp; pensions</t>
  </si>
  <si>
    <t>Derivatives &amp; other liabilities</t>
  </si>
  <si>
    <t>Opening equity</t>
  </si>
  <si>
    <t>Dividends</t>
  </si>
  <si>
    <t>Other equity movements</t>
  </si>
  <si>
    <t>Closing equity</t>
  </si>
  <si>
    <t>TOTAL LIABILITIES &amp; EQUITY</t>
  </si>
  <si>
    <t>BALANCE CHECK</t>
  </si>
  <si>
    <t>BALANCE SHEET DRIVERS</t>
  </si>
  <si>
    <t>Inventory / Revenue</t>
  </si>
  <si>
    <t>FY27E–FY31E</t>
  </si>
  <si>
    <t>Receivables / Revenue</t>
  </si>
  <si>
    <t>Payables / Revenue</t>
  </si>
  <si>
    <t>Other current assets / Revenue</t>
  </si>
  <si>
    <t>Intangible asset growth</t>
  </si>
  <si>
    <t>Other non-current asset growth</t>
  </si>
  <si>
    <t>Contract liability growth</t>
  </si>
  <si>
    <t>Deferred tax / PP&amp;E</t>
  </si>
  <si>
    <t>Provisions &amp; pensions growth</t>
  </si>
  <si>
    <t>Other liabilities / Revenue</t>
  </si>
  <si>
    <t>Dividend payout ratio</t>
  </si>
  <si>
    <t>Minimum cash balance (£m)</t>
  </si>
  <si>
    <t>NATIONAL GRID PLC — CASH FLOW FORECAST</t>
  </si>
  <si>
    <t>Cash Flow Statement (£m)</t>
  </si>
  <si>
    <t>NET INVESTING CASH FLOW</t>
  </si>
  <si>
    <t>Opening cash</t>
  </si>
  <si>
    <t>Additional liquidity funding</t>
  </si>
  <si>
    <t>ENDING CASH</t>
  </si>
  <si>
    <t>Other operating adjustments</t>
  </si>
  <si>
    <t>Other investing cash flows</t>
  </si>
  <si>
    <t>Depreciation &amp; amortisation</t>
  </si>
  <si>
    <t>Working capital movement</t>
  </si>
  <si>
    <t>Provisions / pensions movement</t>
  </si>
  <si>
    <t>NET OPERATING CASH FLOW</t>
  </si>
  <si>
    <t>Purchases of PP&amp;E</t>
  </si>
  <si>
    <t>New borrowings — base</t>
  </si>
  <si>
    <t>-</t>
  </si>
  <si>
    <t>Dividends paid</t>
  </si>
  <si>
    <t>Other financing cash flows</t>
  </si>
  <si>
    <t>NET FINANCING CASH FLOW</t>
  </si>
  <si>
    <t>Net change in cash</t>
  </si>
  <si>
    <t>FX / held-for-sale / other</t>
  </si>
  <si>
    <t>Intangible amortisation rate</t>
  </si>
  <si>
    <t>Additional liquidity funding (year-end)</t>
  </si>
  <si>
    <t>Base New borrowings</t>
  </si>
  <si>
    <t>Metric</t>
  </si>
  <si>
    <t>F/A</t>
  </si>
  <si>
    <t>NATIONAL GRID PLC — FP&amp;A VARIANCE ANALYSIS</t>
  </si>
  <si>
    <t>FY2027 Budget is an illustrative management budget created for this portfolio case study and is not published National Grid guidance.</t>
  </si>
  <si>
    <t>FY2026A Actual</t>
  </si>
  <si>
    <t>FY2027 Budget</t>
  </si>
  <si>
    <t>FY2027 Latest Forecast</t>
  </si>
  <si>
    <t>Variance vs Budget</t>
  </si>
  <si>
    <t>Variance %</t>
  </si>
  <si>
    <t>YoY vs Actual</t>
  </si>
  <si>
    <t>Management Commentary</t>
  </si>
  <si>
    <t>Revenue (£m)</t>
  </si>
  <si>
    <t>Operating profit (£m)</t>
  </si>
  <si>
    <t>Net operating cash flow (£m)</t>
  </si>
  <si>
    <t>Finance cost (£m)</t>
  </si>
  <si>
    <t>Profit after tax (£m)</t>
  </si>
  <si>
    <t>Closing gross debt (£m)</t>
  </si>
  <si>
    <t>Additional liquidity funding (£m)</t>
  </si>
  <si>
    <t>PAT margin</t>
  </si>
  <si>
    <t>PP&amp;E capex intensity</t>
  </si>
  <si>
    <t>Cash flow after investing (£m)</t>
  </si>
  <si>
    <t>EBITDA proxy (£m)</t>
  </si>
  <si>
    <t>Gross debt (£m)</t>
  </si>
  <si>
    <t>Net debt (£m)</t>
  </si>
  <si>
    <t>Net debt / EBITDA proxy</t>
  </si>
  <si>
    <t>Interest coverage</t>
  </si>
  <si>
    <t>Debt / Equity</t>
  </si>
  <si>
    <t>ROA — closing assets basis</t>
  </si>
  <si>
    <t>ROE — closing equity basis</t>
  </si>
  <si>
    <t>Asset turnover</t>
  </si>
  <si>
    <t>KPI - NATIONAL GRID PLC</t>
  </si>
  <si>
    <t>Scenario Input</t>
  </si>
  <si>
    <t>Downside</t>
  </si>
  <si>
    <t>Scenario Output</t>
  </si>
  <si>
    <t>PP&amp;E additions (£m)</t>
  </si>
  <si>
    <t>Depreciation (£m)</t>
  </si>
  <si>
    <t>Base new borrowings (£m)</t>
  </si>
  <si>
    <t>Debt repayments (£m)</t>
  </si>
  <si>
    <t>Pre-funding closing debt (£m)</t>
  </si>
  <si>
    <t>Average debt (£m)</t>
  </si>
  <si>
    <t>Profit before tax (£m)</t>
  </si>
  <si>
    <t>Dividend (£m)</t>
  </si>
  <si>
    <t>Cash Flow Scenario</t>
  </si>
  <si>
    <t>Inventory (£m)</t>
  </si>
  <si>
    <t>Receivables (£m)</t>
  </si>
  <si>
    <t>Payables (£m)</t>
  </si>
  <si>
    <t>Contract liabilities (£m)</t>
  </si>
  <si>
    <t>Working capital movement (£m)</t>
  </si>
  <si>
    <t>Provisions movement (£m)</t>
  </si>
  <si>
    <t>Closing PP&amp;E (£m)</t>
  </si>
  <si>
    <t>Deferred tax liability (£m)</t>
  </si>
  <si>
    <t>Other liabilities (£m)</t>
  </si>
  <si>
    <t>Other operating adjustments (£m)</t>
  </si>
  <si>
    <t>D&amp;A (£m)</t>
  </si>
  <si>
    <t>Tax paid (£m)</t>
  </si>
  <si>
    <t>Investing Scenario</t>
  </si>
  <si>
    <t>Closing intangible assets (£m)</t>
  </si>
  <si>
    <t>Intangible purchases (£m)</t>
  </si>
  <si>
    <t>PP&amp;E purchases (£m)</t>
  </si>
  <si>
    <t>Other investing cash flows (£m)</t>
  </si>
  <si>
    <t>Net investing cash flow (£m)</t>
  </si>
  <si>
    <t>Funding &amp; Leverage</t>
  </si>
  <si>
    <t>Cash before additional funding (£m)</t>
  </si>
  <si>
    <t>Ending cash (£m)</t>
  </si>
  <si>
    <t>Net debt / EBITDA</t>
  </si>
  <si>
    <t>SCENARIOS - NATIONAL GRID PLC</t>
  </si>
  <si>
    <t>DCF VALUATION - NATIONAL GRID PLC</t>
  </si>
  <si>
    <t>DCF ASSUMPTIONS</t>
  </si>
  <si>
    <t>Value</t>
  </si>
  <si>
    <t>WACC</t>
  </si>
  <si>
    <t>Terminal growth rate</t>
  </si>
  <si>
    <t>Terminal ROIC</t>
  </si>
  <si>
    <t>FY2026 Net debt (£m)</t>
  </si>
  <si>
    <t>Diluted shares outstanding (m)</t>
  </si>
  <si>
    <t>Market price reference (p)</t>
  </si>
  <si>
    <t>Valuation date</t>
  </si>
  <si>
    <t>FCFF FORECAST</t>
  </si>
  <si>
    <t>Operating profit / EBIT (£m)</t>
  </si>
  <si>
    <t>Tax rate</t>
  </si>
  <si>
    <t>NOPAT (£m)</t>
  </si>
  <si>
    <t>Provisions / pensions movement (£m)</t>
  </si>
  <si>
    <t>Deferred tax movement (£m)</t>
  </si>
  <si>
    <t>Other liabilities movement (£m)</t>
  </si>
  <si>
    <t>FCFF (£m)</t>
  </si>
  <si>
    <t>Discount period</t>
  </si>
  <si>
    <t>Discount factor</t>
  </si>
  <si>
    <t>PV of FCFF (£m)</t>
  </si>
  <si>
    <t>TERMINAL VALUE</t>
  </si>
  <si>
    <t>FY2031 NOPAT (£m)</t>
  </si>
  <si>
    <t>Terminal reinvestment rate</t>
  </si>
  <si>
    <t>Normalised terminal FCFF (£m)</t>
  </si>
  <si>
    <t>Terminal value (£m)</t>
  </si>
  <si>
    <t>PV of terminal value (£m)</t>
  </si>
  <si>
    <t>PV of explicit FCFF (£m)</t>
  </si>
  <si>
    <t>Enterprise value (£m)</t>
  </si>
  <si>
    <t>Less: FY2026 net debt (£m)</t>
  </si>
  <si>
    <t>Equity value (£m)</t>
  </si>
  <si>
    <t>Implied value per share (£)</t>
  </si>
  <si>
    <t>Implied value per share (p)</t>
  </si>
  <si>
    <t>Upside / (Downside)</t>
  </si>
  <si>
    <t>DCF SENSITIVITY — IMPLIED SHARE PRICE (p)</t>
  </si>
  <si>
    <t>Terminal Growth / WACC</t>
  </si>
  <si>
    <t>Year</t>
  </si>
  <si>
    <t>Operating Profit (£m)</t>
  </si>
  <si>
    <t>Gross Debt (£m)</t>
  </si>
  <si>
    <t>Additional Funding (£m)</t>
  </si>
  <si>
    <t>FY2031 Gross Debt</t>
  </si>
  <si>
    <t>DCF Upside</t>
  </si>
  <si>
    <t>Market Price</t>
  </si>
  <si>
    <t>£82.2bn</t>
  </si>
  <si>
    <t>+3.6%</t>
  </si>
  <si>
    <t>1,150.5p</t>
  </si>
  <si>
    <t>Interest Coverage</t>
  </si>
  <si>
    <t>Additional Funding</t>
  </si>
  <si>
    <t>FY2027 Capital Investment</t>
  </si>
  <si>
    <t>FY2027 Profit After Tax</t>
  </si>
  <si>
    <t>3.3x</t>
  </si>
  <si>
    <t>£4.6bn</t>
  </si>
  <si>
    <t>£13.0bn</t>
  </si>
  <si>
    <t>£3.7bn</t>
  </si>
  <si>
    <t>DCF Value / Share</t>
  </si>
  <si>
    <t>Net Debt / EBITDA</t>
  </si>
  <si>
    <t>FY2027 Gross Debt</t>
  </si>
  <si>
    <t>Operating Margin</t>
  </si>
  <si>
    <t>FY2027 Revenue</t>
  </si>
  <si>
    <t>1,192p</t>
  </si>
  <si>
    <t>6.2x</t>
  </si>
  <si>
    <t>£53.6bn</t>
  </si>
  <si>
    <t>31.8%</t>
  </si>
  <si>
    <t>£19.1bn</t>
  </si>
  <si>
    <t>Scenario</t>
  </si>
  <si>
    <t>FY2024A–FY2031E | Base Case | £m unless stated</t>
  </si>
  <si>
    <t>HELPER DATA — keep with dashboard when copying</t>
  </si>
  <si>
    <t>NATIONAL GRID — FINANCIAL ANALYSIS</t>
  </si>
  <si>
    <t>Confirms forecast liquidity funding maintains the modelled minimum cash balance.</t>
  </si>
  <si>
    <t>Forecast Ending Cash = Minimum Cash Assumption</t>
  </si>
  <si>
    <t>Liquidity</t>
  </si>
  <si>
    <t>CHK-16</t>
  </si>
  <si>
    <t>Validates the implied value per share calculation in pence.</t>
  </si>
  <si>
    <t>Implied Share Price = Equity Value / Diluted Shares</t>
  </si>
  <si>
    <t>DCF</t>
  </si>
  <si>
    <t>CHK-15</t>
  </si>
  <si>
    <t>Confirms the enterprise-to-equity value bridge.</t>
  </si>
  <si>
    <t>Equity Value = Enterprise Value - Net Debt</t>
  </si>
  <si>
    <t>CHK-14</t>
  </si>
  <si>
    <t>Checks the core DCF enterprise value bridge.</t>
  </si>
  <si>
    <t>Enterprise Value = PV Explicit FCFF + PV Terminal Value</t>
  </si>
  <si>
    <t>CHK-13</t>
  </si>
  <si>
    <t>Confirms the Base scenario is consistent with the core FY2027 forecast.</t>
  </si>
  <si>
    <t>Base Scenario outputs tie to FY2027 Base Forecast</t>
  </si>
  <si>
    <t>Scenarios</t>
  </si>
  <si>
    <t>CHK-12</t>
  </si>
  <si>
    <t>Validates the shareholders' equity roll-forward.</t>
  </si>
  <si>
    <t>Opening Equity + PAT + Dividends + Other = Closing Equity</t>
  </si>
  <si>
    <t>Equity</t>
  </si>
  <si>
    <t>CHK-11</t>
  </si>
  <si>
    <t>Confirms operating margin calculations are internally consistent.</t>
  </si>
  <si>
    <t>Revenue × Operating Margin = Operating Profit</t>
  </si>
  <si>
    <t>Income Statement</t>
  </si>
  <si>
    <t>CHK-10</t>
  </si>
  <si>
    <t>Validates the income statement tax and profit bridge.</t>
  </si>
  <si>
    <t>Profit Before Tax + Tax Expense = Profit After Tax</t>
  </si>
  <si>
    <t>CHK-09</t>
  </si>
  <si>
    <t>Checks that calculated debt interest expense ties to the income statement.</t>
  </si>
  <si>
    <t>Debt schedule finance cost = Income Statement finance cost</t>
  </si>
  <si>
    <t>Debt / Income Statement</t>
  </si>
  <si>
    <t>CHK-08</t>
  </si>
  <si>
    <t>Confirms debt schedule balances feed correctly into the balance sheet.</t>
  </si>
  <si>
    <t>Debt schedule closing debt = Balance Sheet borrowings</t>
  </si>
  <si>
    <t>Debt / Balance Sheet</t>
  </si>
  <si>
    <t>CHK-07</t>
  </si>
  <si>
    <t>Validates the debt roll-forward including additional liquidity funding.</t>
  </si>
  <si>
    <t>Opening Debt + Borrowings - Repayments + Other + Funding = Closing Debt</t>
  </si>
  <si>
    <t>Debt Schedule</t>
  </si>
  <si>
    <t>CHK-06</t>
  </si>
  <si>
    <t>Confirms the supporting PP&amp;E schedule ties to the balance sheet.</t>
  </si>
  <si>
    <t>PP&amp;E schedule closing balance = Balance Sheet PP&amp;E</t>
  </si>
  <si>
    <t>PP&amp;E / Balance Sheet</t>
  </si>
  <si>
    <t>CHK-05</t>
  </si>
  <si>
    <t>Validates the PP&amp;E roll-forward schedule.</t>
  </si>
  <si>
    <t>Opening PP&amp;E + Additions - Depreciation + Other = Closing PP&amp;E</t>
  </si>
  <si>
    <t>PP&amp;E Schedule</t>
  </si>
  <si>
    <t>CHK-04</t>
  </si>
  <si>
    <t>Checks that the cash flow statement links correctly into the balance sheet.</t>
  </si>
  <si>
    <t>Cash Flow ending cash = Balance Sheet cash</t>
  </si>
  <si>
    <t>3-Statement Link</t>
  </si>
  <si>
    <t>CHK-03</t>
  </si>
  <si>
    <t>Confirms the cash roll-forward is mathematically consistent.</t>
  </si>
  <si>
    <t>Opening Cash + Net Change + FX = Ending Cash</t>
  </si>
  <si>
    <t>Cash Flow</t>
  </si>
  <si>
    <t>CHK-02</t>
  </si>
  <si>
    <t>Confirms the balance sheet balances across all historical and forecast years.</t>
  </si>
  <si>
    <t>Total Assets = Total Liabilities &amp; Equity</t>
  </si>
  <si>
    <t>CHK-01</t>
  </si>
  <si>
    <t>Purpose</t>
  </si>
  <si>
    <t>Status</t>
  </si>
  <si>
    <t>Tolerance</t>
  </si>
  <si>
    <t>Difference / Error</t>
  </si>
  <si>
    <t>Integrity Check</t>
  </si>
  <si>
    <t>Model Area</t>
  </si>
  <si>
    <t>ID</t>
  </si>
  <si>
    <t>MODEL ERROR</t>
  </si>
  <si>
    <t>FAILED</t>
  </si>
  <si>
    <t>PASSED</t>
  </si>
  <si>
    <t>TOTAL CHECKS</t>
  </si>
  <si>
    <t>OVERALL STATUS</t>
  </si>
  <si>
    <t>NATIONAL GRID PLC — MODEL INTEGRITY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</si>
</sst>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0" formatCode="0.0"/>
    <numFmt numFmtId="171" formatCode="#,##0;\ \(#\ ##0\);\ \-"/>
    <numFmt numFmtId="173" formatCode="0.00000"/>
    <numFmt numFmtId="174" formatCode="0.0000"/>
    <numFmt numFmtId="175" formatCode="0.000"/>
    <numFmt numFmtId="177" formatCode="0.0%"/>
    <numFmt numFmtId="184" formatCode="#,##0;\ \(#.\ ##0\);\ \-"/>
    <numFmt numFmtId="185" formatCode="0.0\x"/>
    <numFmt numFmtId="186" formatCode="#,##0;[Red]\(#,##0\);\-"/>
    <numFmt numFmtId="187" formatCode="#,##0.0;[Red]\(#,##0.0\);\-"/>
  </numFmts>
  <fonts count="5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3" tint="9.9978637043366805E-2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3" tint="9.9978637043366805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3" tint="9.9978637043366805E-2"/>
      <name val="Aptos Narrow"/>
      <scheme val="minor"/>
    </font>
    <font>
      <sz val="12"/>
      <color theme="9" tint="-0.249977111117893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9" tint="-0.249977111117893"/>
      <name val="Aptos Narrow"/>
      <scheme val="minor"/>
    </font>
    <font>
      <sz val="10"/>
      <color theme="3" tint="0.249977111117893"/>
      <name val="Arial Unicode MS"/>
      <family val="2"/>
    </font>
    <font>
      <sz val="10"/>
      <color theme="9" tint="-0.249977111117893"/>
      <name val="Arial Unicode MS"/>
      <family val="2"/>
    </font>
    <font>
      <sz val="12"/>
      <color theme="3" tint="9.9978637043366805E-2"/>
      <name val="Aptos Narrow"/>
      <scheme val="minor"/>
    </font>
    <font>
      <sz val="12"/>
      <color theme="4" tint="-0.249977111117893"/>
      <name val="Aptos Narrow"/>
      <family val="2"/>
      <scheme val="minor"/>
    </font>
    <font>
      <b/>
      <sz val="12"/>
      <color theme="9" tint="-0.249977111117893"/>
      <name val="Aptos Narrow"/>
      <scheme val="minor"/>
    </font>
    <font>
      <sz val="11"/>
      <name val="Carlito"/>
    </font>
    <font>
      <sz val="6"/>
      <color rgb="FF2B2B2B"/>
      <name val="Carlito"/>
    </font>
    <font>
      <sz val="9"/>
      <color rgb="FFFFFFFF"/>
      <name val="Aptos"/>
    </font>
    <font>
      <b/>
      <sz val="9"/>
      <color rgb="FFFFFFFF"/>
      <name val="Aptos"/>
    </font>
    <font>
      <b/>
      <sz val="8"/>
      <color rgb="FFED7D31"/>
      <name val="Aptos"/>
    </font>
    <font>
      <sz val="18"/>
      <color rgb="FFFFFFFF"/>
      <name val="Aptos"/>
    </font>
    <font>
      <sz val="18"/>
      <color rgb="FF70AD47"/>
      <name val="Aptos"/>
    </font>
    <font>
      <b/>
      <sz val="18"/>
      <color rgb="FFFFFFFF"/>
      <name val="Aptos"/>
    </font>
    <font>
      <b/>
      <sz val="18"/>
      <color rgb="FF70AD47"/>
      <name val="Aptos"/>
    </font>
    <font>
      <b/>
      <sz val="9"/>
      <color rgb="FF8FC5FF"/>
      <name val="Aptos"/>
    </font>
    <font>
      <b/>
      <sz val="9"/>
      <color rgb="FFED7D31"/>
      <name val="Aptos"/>
    </font>
    <font>
      <b/>
      <sz val="21"/>
      <color rgb="FFFFFFFF"/>
      <name val="Aptos"/>
    </font>
    <font>
      <sz val="21"/>
      <color rgb="FFFFFFFF"/>
      <name val="Aptos"/>
    </font>
    <font>
      <b/>
      <sz val="22"/>
      <color rgb="FFFFFFFF"/>
      <name val="Aptos"/>
    </font>
    <font>
      <i/>
      <sz val="10"/>
      <color rgb="FFD9EAF7"/>
      <name val="Aptos"/>
    </font>
    <font>
      <b/>
      <sz val="22"/>
      <color rgb="FFFFFFFF"/>
      <name val="Aptos Display"/>
    </font>
    <font>
      <b/>
      <sz val="14"/>
      <color rgb="FFED7D31"/>
      <name val="Aptos"/>
    </font>
    <font>
      <b/>
      <sz val="14"/>
      <color rgb="FF8FC5FF"/>
      <name val="Aptos"/>
    </font>
    <font>
      <sz val="16"/>
      <color rgb="FF2B2B2B"/>
      <name val="Carlito"/>
    </font>
    <font>
      <sz val="16"/>
      <name val="Carlito"/>
    </font>
    <font>
      <b/>
      <sz val="16"/>
      <color rgb="FF2B2B2B"/>
      <name val="Carlito"/>
    </font>
    <font>
      <b/>
      <sz val="16"/>
      <color rgb="FF17365D"/>
      <name val="Carlito"/>
    </font>
    <font>
      <b/>
      <sz val="14"/>
      <color rgb="FF2B2B2B"/>
      <name val="Carlito"/>
    </font>
    <font>
      <sz val="12"/>
      <color theme="1"/>
      <name val="Aptos Narrow"/>
    </font>
    <font>
      <sz val="11"/>
      <color rgb="FF000000"/>
      <name val="Aptos Narrow"/>
    </font>
    <font>
      <b/>
      <sz val="12"/>
      <color rgb="FFFFFFFF"/>
      <name val="Aptos Narrow"/>
    </font>
    <font>
      <b/>
      <sz val="12"/>
      <color rgb="FF000000"/>
      <name val="Aptos Narrow"/>
    </font>
    <font>
      <i/>
      <sz val="10"/>
      <color rgb="FF44546A"/>
      <name val="Aptos Narrow"/>
    </font>
    <font>
      <b/>
      <sz val="16"/>
      <color rgb="FFFFFFFF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BAF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B2B2B"/>
      </patternFill>
    </fill>
    <fill>
      <patternFill patternType="solid">
        <fgColor rgb="FF333333"/>
      </patternFill>
    </fill>
    <fill>
      <patternFill patternType="solid">
        <fgColor rgb="FF1676D2"/>
      </patternFill>
    </fill>
    <fill>
      <patternFill patternType="solid">
        <fgColor rgb="FFED7D31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2" fillId="0" borderId="0"/>
    <xf numFmtId="0" fontId="45" fillId="0" borderId="0"/>
  </cellStyleXfs>
  <cellXfs count="139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vertical="top" wrapText="1"/>
    </xf>
    <xf numFmtId="0" fontId="3" fillId="0" borderId="0" xfId="0" applyFont="1"/>
    <xf numFmtId="0" fontId="5" fillId="0" borderId="0" xfId="0" applyFont="1"/>
    <xf numFmtId="170" fontId="0" fillId="0" borderId="0" xfId="0" applyNumberFormat="1"/>
    <xf numFmtId="0" fontId="6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2" fillId="5" borderId="0" xfId="0" applyFont="1" applyFill="1" applyAlignment="1">
      <alignment horizontal="left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3" fontId="0" fillId="0" borderId="0" xfId="0" applyNumberFormat="1"/>
    <xf numFmtId="3" fontId="3" fillId="0" borderId="0" xfId="0" applyNumberFormat="1" applyFont="1"/>
    <xf numFmtId="0" fontId="8" fillId="0" borderId="0" xfId="0" applyFont="1"/>
    <xf numFmtId="0" fontId="11" fillId="0" borderId="0" xfId="0" applyFont="1"/>
    <xf numFmtId="0" fontId="0" fillId="0" borderId="0" xfId="0"/>
    <xf numFmtId="0" fontId="3" fillId="0" borderId="0" xfId="0" applyFont="1"/>
    <xf numFmtId="0" fontId="8" fillId="0" borderId="0" xfId="0" applyFont="1" applyFill="1"/>
    <xf numFmtId="0" fontId="11" fillId="0" borderId="0" xfId="0" applyFont="1" applyFill="1"/>
    <xf numFmtId="0" fontId="12" fillId="0" borderId="0" xfId="0" applyFont="1"/>
    <xf numFmtId="0" fontId="5" fillId="0" borderId="0" xfId="0" applyFont="1"/>
    <xf numFmtId="0" fontId="13" fillId="0" borderId="0" xfId="0" applyFont="1"/>
    <xf numFmtId="0" fontId="14" fillId="0" borderId="0" xfId="0" applyFon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" fontId="0" fillId="0" borderId="0" xfId="0" applyNumberFormat="1"/>
    <xf numFmtId="0" fontId="10" fillId="5" borderId="0" xfId="0" applyFont="1" applyFill="1" applyAlignment="1">
      <alignment horizontal="left"/>
    </xf>
    <xf numFmtId="0" fontId="10" fillId="0" borderId="0" xfId="0" applyFont="1" applyFill="1" applyAlignment="1"/>
    <xf numFmtId="0" fontId="14" fillId="0" borderId="0" xfId="0" applyFont="1"/>
    <xf numFmtId="10" fontId="0" fillId="0" borderId="0" xfId="0" applyNumberFormat="1"/>
    <xf numFmtId="177" fontId="0" fillId="0" borderId="0" xfId="0" applyNumberFormat="1"/>
    <xf numFmtId="0" fontId="15" fillId="0" borderId="0" xfId="0" applyFont="1"/>
    <xf numFmtId="0" fontId="16" fillId="0" borderId="0" xfId="0" applyFont="1"/>
    <xf numFmtId="0" fontId="10" fillId="6" borderId="0" xfId="0" applyFont="1" applyFill="1"/>
    <xf numFmtId="0" fontId="9" fillId="0" borderId="0" xfId="0" applyFont="1"/>
    <xf numFmtId="0" fontId="17" fillId="0" borderId="0" xfId="0" applyFont="1"/>
    <xf numFmtId="0" fontId="18" fillId="0" borderId="0" xfId="0" applyFont="1"/>
    <xf numFmtId="9" fontId="0" fillId="0" borderId="0" xfId="0" applyNumberFormat="1"/>
    <xf numFmtId="0" fontId="2" fillId="6" borderId="0" xfId="0" applyFont="1" applyFill="1" applyAlignment="1">
      <alignment horizontal="left"/>
    </xf>
    <xf numFmtId="177" fontId="14" fillId="0" borderId="0" xfId="0" applyNumberFormat="1" applyFont="1"/>
    <xf numFmtId="0" fontId="8" fillId="0" borderId="0" xfId="0" applyNumberFormat="1" applyFont="1"/>
    <xf numFmtId="177" fontId="8" fillId="0" borderId="0" xfId="0" applyNumberFormat="1" applyFont="1" applyFill="1"/>
    <xf numFmtId="177" fontId="19" fillId="0" borderId="0" xfId="0" applyNumberFormat="1" applyFont="1"/>
    <xf numFmtId="3" fontId="19" fillId="0" borderId="0" xfId="0" applyNumberFormat="1" applyFont="1"/>
    <xf numFmtId="0" fontId="19" fillId="0" borderId="0" xfId="0" applyFont="1"/>
    <xf numFmtId="10" fontId="19" fillId="0" borderId="0" xfId="0" applyNumberFormat="1" applyFont="1"/>
    <xf numFmtId="1" fontId="15" fillId="0" borderId="0" xfId="0" applyNumberFormat="1" applyFont="1"/>
    <xf numFmtId="1" fontId="0" fillId="0" borderId="0" xfId="0" applyNumberFormat="1"/>
    <xf numFmtId="9" fontId="0" fillId="0" borderId="0" xfId="1" applyFont="1"/>
    <xf numFmtId="177" fontId="0" fillId="0" borderId="0" xfId="1" applyNumberFormat="1" applyFont="1"/>
    <xf numFmtId="177" fontId="14" fillId="0" borderId="0" xfId="1" applyNumberFormat="1" applyFont="1"/>
    <xf numFmtId="1" fontId="14" fillId="0" borderId="0" xfId="0" applyNumberFormat="1" applyFont="1"/>
    <xf numFmtId="9" fontId="14" fillId="0" borderId="0" xfId="1" applyFont="1"/>
    <xf numFmtId="10" fontId="0" fillId="0" borderId="0" xfId="1" applyNumberFormat="1" applyFont="1"/>
    <xf numFmtId="177" fontId="20" fillId="4" borderId="0" xfId="1" applyNumberFormat="1" applyFont="1" applyFill="1"/>
    <xf numFmtId="177" fontId="1" fillId="0" borderId="0" xfId="1" applyNumberFormat="1" applyFont="1"/>
    <xf numFmtId="0" fontId="1" fillId="0" borderId="0" xfId="0" applyFont="1"/>
    <xf numFmtId="9" fontId="20" fillId="4" borderId="0" xfId="0" applyNumberFormat="1" applyFont="1" applyFill="1"/>
    <xf numFmtId="10" fontId="20" fillId="4" borderId="0" xfId="0" applyNumberFormat="1" applyFont="1" applyFill="1"/>
    <xf numFmtId="0" fontId="20" fillId="0" borderId="0" xfId="0" applyFont="1"/>
    <xf numFmtId="0" fontId="0" fillId="0" borderId="0" xfId="0"/>
    <xf numFmtId="10" fontId="0" fillId="0" borderId="0" xfId="1" applyNumberFormat="1" applyFont="1" applyAlignment="1">
      <alignment horizontal="right"/>
    </xf>
    <xf numFmtId="1" fontId="0" fillId="0" borderId="0" xfId="0" applyNumberFormat="1" applyFont="1"/>
    <xf numFmtId="0" fontId="0" fillId="0" borderId="0" xfId="0" applyFont="1"/>
    <xf numFmtId="0" fontId="14" fillId="0" borderId="0" xfId="0" applyFont="1"/>
    <xf numFmtId="0" fontId="16" fillId="0" borderId="0" xfId="0" applyFont="1"/>
    <xf numFmtId="0" fontId="5" fillId="0" borderId="0" xfId="0" applyFont="1"/>
    <xf numFmtId="10" fontId="9" fillId="4" borderId="0" xfId="0" applyNumberFormat="1" applyFont="1" applyFill="1"/>
    <xf numFmtId="9" fontId="9" fillId="4" borderId="0" xfId="0" applyNumberFormat="1" applyFont="1" applyFill="1"/>
    <xf numFmtId="0" fontId="21" fillId="0" borderId="0" xfId="0" applyFont="1"/>
    <xf numFmtId="0" fontId="9" fillId="0" borderId="0" xfId="0" applyFont="1"/>
    <xf numFmtId="0" fontId="9" fillId="4" borderId="0" xfId="0" applyNumberFormat="1" applyFont="1" applyFill="1"/>
    <xf numFmtId="10" fontId="8" fillId="4" borderId="0" xfId="0" applyNumberFormat="1" applyFont="1" applyFill="1"/>
    <xf numFmtId="0" fontId="8" fillId="0" borderId="0" xfId="0" applyFont="1"/>
    <xf numFmtId="0" fontId="11" fillId="0" borderId="0" xfId="0" applyFont="1"/>
    <xf numFmtId="3" fontId="5" fillId="0" borderId="0" xfId="0" applyNumberFormat="1" applyFont="1"/>
    <xf numFmtId="0" fontId="3" fillId="0" borderId="0" xfId="0" applyFont="1"/>
    <xf numFmtId="10" fontId="3" fillId="0" borderId="0" xfId="1" applyNumberFormat="1" applyFont="1"/>
    <xf numFmtId="10" fontId="8" fillId="0" borderId="0" xfId="0" applyNumberFormat="1" applyFont="1"/>
    <xf numFmtId="0" fontId="8" fillId="4" borderId="0" xfId="0" applyFont="1" applyFill="1"/>
    <xf numFmtId="15" fontId="8" fillId="0" borderId="0" xfId="0" applyNumberFormat="1" applyFont="1"/>
    <xf numFmtId="171" fontId="0" fillId="0" borderId="0" xfId="0" applyNumberFormat="1"/>
    <xf numFmtId="184" fontId="0" fillId="0" borderId="0" xfId="0" applyNumberFormat="1"/>
    <xf numFmtId="0" fontId="22" fillId="0" borderId="0" xfId="2"/>
    <xf numFmtId="0" fontId="24" fillId="7" borderId="0" xfId="2" applyFont="1" applyFill="1" applyAlignment="1">
      <alignment vertical="center" wrapText="1"/>
    </xf>
    <xf numFmtId="0" fontId="25" fillId="7" borderId="0" xfId="2" applyFont="1" applyFill="1" applyAlignment="1">
      <alignment vertical="center"/>
    </xf>
    <xf numFmtId="0" fontId="25" fillId="7" borderId="0" xfId="2" applyFont="1" applyFill="1" applyAlignment="1">
      <alignment horizontal="left" vertical="center" wrapText="1"/>
    </xf>
    <xf numFmtId="0" fontId="25" fillId="7" borderId="0" xfId="2" applyFont="1" applyFill="1" applyAlignment="1">
      <alignment horizontal="left" vertical="center"/>
    </xf>
    <xf numFmtId="0" fontId="24" fillId="7" borderId="0" xfId="2" applyFont="1" applyFill="1" applyAlignment="1">
      <alignment vertical="center" wrapText="1"/>
    </xf>
    <xf numFmtId="0" fontId="25" fillId="7" borderId="0" xfId="2" applyFont="1" applyFill="1" applyAlignment="1">
      <alignment vertical="center"/>
    </xf>
    <xf numFmtId="0" fontId="26" fillId="8" borderId="0" xfId="2" applyFont="1" applyFill="1" applyAlignment="1">
      <alignment horizontal="center" vertical="center" wrapText="1"/>
    </xf>
    <xf numFmtId="0" fontId="25" fillId="7" borderId="0" xfId="2" applyFont="1" applyFill="1" applyAlignment="1">
      <alignment horizontal="left" vertical="center"/>
    </xf>
    <xf numFmtId="0" fontId="27" fillId="8" borderId="0" xfId="2" applyFont="1" applyFill="1" applyAlignment="1">
      <alignment horizontal="center" vertical="center"/>
    </xf>
    <xf numFmtId="0" fontId="28" fillId="8" borderId="0" xfId="2" applyFont="1" applyFill="1" applyAlignment="1">
      <alignment horizontal="center" vertical="center"/>
    </xf>
    <xf numFmtId="0" fontId="24" fillId="7" borderId="0" xfId="2" applyFont="1" applyFill="1" applyAlignment="1">
      <alignment vertical="center"/>
    </xf>
    <xf numFmtId="0" fontId="29" fillId="8" borderId="0" xfId="2" applyFont="1" applyFill="1" applyAlignment="1">
      <alignment horizontal="center" vertical="center"/>
    </xf>
    <xf numFmtId="0" fontId="30" fillId="8" borderId="0" xfId="2" applyFont="1" applyFill="1" applyAlignment="1">
      <alignment horizontal="center" vertical="center"/>
    </xf>
    <xf numFmtId="0" fontId="25" fillId="7" borderId="0" xfId="2" applyFont="1" applyFill="1" applyAlignment="1">
      <alignment horizontal="right" vertical="center"/>
    </xf>
    <xf numFmtId="0" fontId="31" fillId="8" borderId="0" xfId="2" applyFont="1" applyFill="1" applyAlignment="1">
      <alignment horizontal="center" vertical="center" wrapText="1"/>
    </xf>
    <xf numFmtId="0" fontId="32" fillId="8" borderId="0" xfId="2" applyFont="1" applyFill="1" applyAlignment="1">
      <alignment horizontal="center" vertical="center" wrapText="1"/>
    </xf>
    <xf numFmtId="0" fontId="33" fillId="8" borderId="0" xfId="2" applyFont="1" applyFill="1" applyAlignment="1">
      <alignment horizontal="center" vertical="center"/>
    </xf>
    <xf numFmtId="0" fontId="34" fillId="8" borderId="0" xfId="2" applyFont="1" applyFill="1" applyAlignment="1">
      <alignment horizontal="center" vertical="center"/>
    </xf>
    <xf numFmtId="186" fontId="34" fillId="8" borderId="0" xfId="2" applyNumberFormat="1" applyFont="1" applyFill="1" applyAlignment="1">
      <alignment horizontal="center" vertical="center"/>
    </xf>
    <xf numFmtId="0" fontId="25" fillId="9" borderId="0" xfId="2" applyFont="1" applyFill="1" applyAlignment="1">
      <alignment horizontal="left" vertical="center"/>
    </xf>
    <xf numFmtId="0" fontId="25" fillId="10" borderId="0" xfId="2" applyFont="1" applyFill="1" applyAlignment="1">
      <alignment horizontal="left" vertical="center"/>
    </xf>
    <xf numFmtId="0" fontId="35" fillId="8" borderId="0" xfId="2" applyFont="1" applyFill="1" applyAlignment="1">
      <alignment horizontal="center" vertical="center"/>
    </xf>
    <xf numFmtId="0" fontId="25" fillId="9" borderId="0" xfId="2" applyFont="1" applyFill="1" applyAlignment="1">
      <alignment horizontal="center" vertical="center"/>
    </xf>
    <xf numFmtId="0" fontId="24" fillId="10" borderId="0" xfId="2" applyFont="1" applyFill="1" applyAlignment="1">
      <alignment vertical="center"/>
    </xf>
    <xf numFmtId="0" fontId="36" fillId="9" borderId="0" xfId="2" applyFont="1" applyFill="1" applyAlignment="1">
      <alignment horizontal="center" vertical="center"/>
    </xf>
    <xf numFmtId="0" fontId="37" fillId="9" borderId="0" xfId="2" applyFont="1" applyFill="1" applyAlignment="1">
      <alignment horizontal="center" vertical="center"/>
    </xf>
    <xf numFmtId="0" fontId="23" fillId="0" borderId="0" xfId="2" applyFont="1" applyFill="1"/>
    <xf numFmtId="0" fontId="22" fillId="0" borderId="0" xfId="2" applyFill="1"/>
    <xf numFmtId="3" fontId="23" fillId="0" borderId="0" xfId="2" applyNumberFormat="1" applyFont="1" applyFill="1"/>
    <xf numFmtId="0" fontId="38" fillId="8" borderId="0" xfId="2" applyFont="1" applyFill="1" applyAlignment="1">
      <alignment horizontal="center" vertical="center" wrapText="1"/>
    </xf>
    <xf numFmtId="185" fontId="38" fillId="8" borderId="0" xfId="2" applyNumberFormat="1" applyFont="1" applyFill="1" applyAlignment="1">
      <alignment horizontal="center" vertical="center" wrapText="1"/>
    </xf>
    <xf numFmtId="0" fontId="39" fillId="8" borderId="0" xfId="2" applyFont="1" applyFill="1" applyAlignment="1">
      <alignment horizontal="center" vertical="center" wrapText="1"/>
    </xf>
    <xf numFmtId="0" fontId="40" fillId="0" borderId="0" xfId="2" applyFont="1" applyFill="1"/>
    <xf numFmtId="0" fontId="41" fillId="0" borderId="0" xfId="2" applyFont="1" applyFill="1"/>
    <xf numFmtId="3" fontId="40" fillId="0" borderId="0" xfId="2" applyNumberFormat="1" applyFont="1" applyFill="1"/>
    <xf numFmtId="0" fontId="42" fillId="0" borderId="0" xfId="2" applyFont="1" applyFill="1"/>
    <xf numFmtId="0" fontId="43" fillId="0" borderId="0" xfId="2" applyFont="1" applyFill="1"/>
    <xf numFmtId="0" fontId="44" fillId="0" borderId="0" xfId="2" applyFont="1" applyFill="1"/>
    <xf numFmtId="0" fontId="45" fillId="0" borderId="0" xfId="3"/>
    <xf numFmtId="0" fontId="46" fillId="0" borderId="0" xfId="3" applyFont="1" applyAlignment="1">
      <alignment vertical="center" wrapText="1"/>
    </xf>
    <xf numFmtId="0" fontId="46" fillId="0" borderId="0" xfId="3" applyFont="1" applyAlignment="1">
      <alignment horizontal="center" vertical="center"/>
    </xf>
    <xf numFmtId="187" fontId="46" fillId="0" borderId="0" xfId="3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0" fontId="47" fillId="11" borderId="0" xfId="3" applyFont="1" applyFill="1" applyAlignment="1">
      <alignment horizontal="center" vertical="center" wrapText="1"/>
    </xf>
    <xf numFmtId="187" fontId="48" fillId="2" borderId="0" xfId="3" applyNumberFormat="1" applyFont="1" applyFill="1" applyAlignment="1">
      <alignment horizontal="center" vertical="center"/>
    </xf>
    <xf numFmtId="0" fontId="48" fillId="2" borderId="0" xfId="3" applyFont="1" applyFill="1" applyAlignment="1">
      <alignment horizontal="center" vertical="center"/>
    </xf>
    <xf numFmtId="0" fontId="47" fillId="12" borderId="0" xfId="3" applyFont="1" applyFill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50" fillId="11" borderId="0" xfId="3" applyFont="1" applyFill="1" applyAlignment="1">
      <alignment horizontal="left" vertical="center"/>
    </xf>
  </cellXfs>
  <cellStyles count="4">
    <cellStyle name="Normal" xfId="0" builtinId="0"/>
    <cellStyle name="Normal 2" xfId="2" xr:uid="{4DC3D0A9-5837-C542-826E-2FDE91DD0733}"/>
    <cellStyle name="Normal 3" xfId="3" xr:uid="{48EA4D5A-9AD8-BC43-8585-C9B358A111C8}"/>
    <cellStyle name="Per cent" xfId="1" builtinId="5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FFFB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Revenue &amp; Operating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(£m)</c:v>
          </c:tx>
          <c:marker>
            <c:symbol val="none"/>
          </c:marker>
          <c:cat>
            <c:strRef>
              <c:f>'14_DASHBOARD'!$P$4:$P$11</c:f>
              <c:strCache>
                <c:ptCount val="2"/>
                <c:pt idx="0">
                  <c:v>FY2024A</c:v>
                </c:pt>
                <c:pt idx="1">
                  <c:v>FY2025A</c:v>
                </c:pt>
              </c:strCache>
            </c:strRef>
          </c:cat>
          <c:val>
            <c:numRef>
              <c:f>'14_DASHBOARD'!$Q$4:$Q$11</c:f>
              <c:numCache>
                <c:formatCode>#,##0</c:formatCode>
                <c:ptCount val="8"/>
                <c:pt idx="0">
                  <c:v>19850</c:v>
                </c:pt>
                <c:pt idx="1">
                  <c:v>18378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8F-634C-810E-F02FC3D15705}"/>
            </c:ext>
          </c:extLst>
        </c:ser>
        <c:ser>
          <c:idx val="1"/>
          <c:order val="1"/>
          <c:tx>
            <c:v>Operating Profit (£m)</c:v>
          </c:tx>
          <c:marker>
            <c:symbol val="none"/>
          </c:marker>
          <c:cat>
            <c:strRef>
              <c:f>'14_DASHBOARD'!$P$4:$P$11</c:f>
              <c:strCache>
                <c:ptCount val="2"/>
                <c:pt idx="0">
                  <c:v>FY2024A</c:v>
                </c:pt>
                <c:pt idx="1">
                  <c:v>FY2025A</c:v>
                </c:pt>
              </c:strCache>
            </c:strRef>
          </c:cat>
          <c:val>
            <c:numRef>
              <c:f>'14_DASHBOARD'!$R$4:$R$11</c:f>
              <c:numCache>
                <c:formatCode>#,##0</c:formatCode>
                <c:ptCount val="8"/>
                <c:pt idx="0">
                  <c:v>4475</c:v>
                </c:pt>
                <c:pt idx="1">
                  <c:v>4934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8F-634C-810E-F02FC3D15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Gross Debt Outlook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056883059191192E-2"/>
          <c:y val="4.0808747606145918E-2"/>
          <c:w val="0.88640267504876524"/>
          <c:h val="0.8383006062959466"/>
        </c:manualLayout>
      </c:layout>
      <c:barChart>
        <c:barDir val="col"/>
        <c:grouping val="clustered"/>
        <c:varyColors val="0"/>
        <c:ser>
          <c:idx val="0"/>
          <c:order val="0"/>
          <c:tx>
            <c:v>Gross Debt (£m)</c:v>
          </c:tx>
          <c:invertIfNegative val="1"/>
          <c:cat>
            <c:strRef>
              <c:f>'14_DASHBOARD'!$T$4:$T$9</c:f>
              <c:strCache>
                <c:ptCount val="6"/>
                <c:pt idx="0">
                  <c:v>FY2026A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  <c:pt idx="5">
                  <c:v>FY2031E</c:v>
                </c:pt>
              </c:strCache>
            </c:strRef>
          </c:cat>
          <c:val>
            <c:numRef>
              <c:f>'14_DASHBOARD'!$U$4:$U$9</c:f>
              <c:numCache>
                <c:formatCode>#,##0</c:formatCode>
                <c:ptCount val="6"/>
                <c:pt idx="0">
                  <c:v>46755</c:v>
                </c:pt>
                <c:pt idx="1">
                  <c:v>53640.43</c:v>
                </c:pt>
                <c:pt idx="2">
                  <c:v>60851.99</c:v>
                </c:pt>
                <c:pt idx="3">
                  <c:v>68111.850000000006</c:v>
                </c:pt>
                <c:pt idx="4">
                  <c:v>75238.52</c:v>
                </c:pt>
                <c:pt idx="5">
                  <c:v>82236.160000000003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F-C046-9558-08711515C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FY2027 Additional Funding by 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Additional Funding (£m)</c:v>
          </c:tx>
          <c:invertIfNegative val="1"/>
          <c:cat>
            <c:strRef>
              <c:f>'14_DASHBOARD'!$X$4:$X$6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'14_DASHBOARD'!$Y$4:$Y$6</c:f>
              <c:numCache>
                <c:formatCode>#,##0</c:formatCode>
                <c:ptCount val="3"/>
                <c:pt idx="0">
                  <c:v>4607.62</c:v>
                </c:pt>
                <c:pt idx="1">
                  <c:v>4050.95</c:v>
                </c:pt>
                <c:pt idx="2">
                  <c:v>5071.8900000000003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D-5741-AFF0-E192D5577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203200</xdr:rowOff>
    </xdr:from>
    <xdr:to>
      <xdr:col>7</xdr:col>
      <xdr:colOff>33717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47071C68-80FA-1941-99E1-1FF57EFE3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146108</xdr:colOff>
      <xdr:row>7</xdr:row>
      <xdr:rowOff>190500</xdr:rowOff>
    </xdr:from>
    <xdr:to>
      <xdr:col>13</xdr:col>
      <xdr:colOff>753010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CB94FEF3-798D-FE49-9D11-685894F78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798561</xdr:colOff>
      <xdr:row>41</xdr:row>
      <xdr:rowOff>115454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A816C144-C04C-FB40-AB04-6838411B0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ebelle/Downloads/National_Grid_FP&amp;A_Financial_Model_with_Checks.xlsx" TargetMode="External"/><Relationship Id="rId1" Type="http://schemas.openxmlformats.org/officeDocument/2006/relationships/externalLinkPath" Target="/Users/shebelle/Downloads/National_Grid_FP&amp;A_Financial_Model_with_Chec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_README"/>
      <sheetName val="01_CONTROL"/>
      <sheetName val="02_RAW_DATA"/>
      <sheetName val="03_HIST_FS"/>
      <sheetName val="04_DRIVERS"/>
      <sheetName val="05_INCOME_STATEMENT"/>
      <sheetName val="06_BALANCE_SHEET"/>
      <sheetName val="07_CASH_FLOW"/>
      <sheetName val="08_CAPEX_PPE"/>
      <sheetName val="09_DEBT"/>
      <sheetName val="10_FPA_VARIANCE"/>
      <sheetName val="11_KPI_RATIOS"/>
      <sheetName val="12_SCENARIOS"/>
      <sheetName val="13_DCF_VALUATION"/>
      <sheetName val="14_DASHBOARD"/>
      <sheetName val="14_DASHBOARD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7">
          <cell r="B37">
            <v>500</v>
          </cell>
        </row>
      </sheetData>
      <sheetData sheetId="5">
        <row r="5">
          <cell r="B5">
            <v>19850</v>
          </cell>
          <cell r="C5">
            <v>18378</v>
          </cell>
          <cell r="D5">
            <v>17687</v>
          </cell>
          <cell r="E5">
            <v>19101.960000000003</v>
          </cell>
          <cell r="F5">
            <v>20439.097200000004</v>
          </cell>
          <cell r="G5">
            <v>21767.638518000003</v>
          </cell>
          <cell r="H5">
            <v>23073.696829080003</v>
          </cell>
          <cell r="I5">
            <v>24342.750154679401</v>
          </cell>
        </row>
        <row r="8">
          <cell r="B8">
            <v>4475</v>
          </cell>
          <cell r="C8">
            <v>4934</v>
          </cell>
          <cell r="D8">
            <v>5431</v>
          </cell>
          <cell r="E8">
            <v>6074.4232800000009</v>
          </cell>
          <cell r="F8">
            <v>6540.5111040000011</v>
          </cell>
          <cell r="G8">
            <v>6987.4119642780015</v>
          </cell>
          <cell r="H8">
            <v>7429.7303789637608</v>
          </cell>
          <cell r="I8">
            <v>7862.7082999614468</v>
          </cell>
        </row>
        <row r="9">
          <cell r="B9">
            <v>0.22544080604534006</v>
          </cell>
          <cell r="C9">
            <v>0.26847317444770924</v>
          </cell>
          <cell r="D9">
            <v>0.30706168372250808</v>
          </cell>
          <cell r="E9">
            <v>0.318</v>
          </cell>
          <cell r="F9">
            <v>0.32</v>
          </cell>
          <cell r="G9">
            <v>0.32100000000000001</v>
          </cell>
          <cell r="H9">
            <v>0.32200000000000001</v>
          </cell>
          <cell r="I9">
            <v>0.32300000000000001</v>
          </cell>
        </row>
        <row r="12">
          <cell r="D12">
            <v>-1705</v>
          </cell>
          <cell r="E12">
            <v>-1819.9684374999999</v>
          </cell>
          <cell r="F12">
            <v>-2134.2425271967045</v>
          </cell>
          <cell r="G12">
            <v>-2471.6145683528871</v>
          </cell>
          <cell r="H12">
            <v>-2754.5340897965875</v>
          </cell>
          <cell r="I12">
            <v>-3032.2926748883665</v>
          </cell>
        </row>
        <row r="15">
          <cell r="B15">
            <v>3048</v>
          </cell>
          <cell r="C15">
            <v>3650</v>
          </cell>
          <cell r="D15">
            <v>4182</v>
          </cell>
          <cell r="E15">
            <v>4712.7348425000009</v>
          </cell>
          <cell r="F15">
            <v>4866.8969768032966</v>
          </cell>
          <cell r="G15">
            <v>4978.8446479251143</v>
          </cell>
          <cell r="H15">
            <v>5140.7349587271738</v>
          </cell>
          <cell r="I15">
            <v>5298.52045471988</v>
          </cell>
        </row>
        <row r="17">
          <cell r="B17">
            <v>-831</v>
          </cell>
          <cell r="C17">
            <v>-821</v>
          </cell>
          <cell r="D17">
            <v>-939</v>
          </cell>
          <cell r="E17">
            <v>-1036.8016653500001</v>
          </cell>
          <cell r="F17">
            <v>-1070.7173348967253</v>
          </cell>
          <cell r="G17">
            <v>-1095.3458225435252</v>
          </cell>
          <cell r="H17">
            <v>-1130.9616909199783</v>
          </cell>
          <cell r="I17">
            <v>-1165.6745000383737</v>
          </cell>
        </row>
        <row r="19">
          <cell r="B19">
            <v>2217</v>
          </cell>
          <cell r="C19">
            <v>2829</v>
          </cell>
          <cell r="D19">
            <v>3243</v>
          </cell>
          <cell r="E19">
            <v>3675.933177150001</v>
          </cell>
          <cell r="F19">
            <v>3796.1796419065713</v>
          </cell>
          <cell r="G19">
            <v>3883.4988253815891</v>
          </cell>
          <cell r="H19">
            <v>4009.7732678071952</v>
          </cell>
          <cell r="I19">
            <v>4132.8459546815066</v>
          </cell>
        </row>
      </sheetData>
      <sheetData sheetId="6">
        <row r="8">
          <cell r="D8">
            <v>81520</v>
          </cell>
          <cell r="E8">
            <v>91044.565777219905</v>
          </cell>
          <cell r="F8">
            <v>101034.24110174124</v>
          </cell>
          <cell r="G8">
            <v>111116.13993761383</v>
          </cell>
          <cell r="H8">
            <v>121107.58651093698</v>
          </cell>
          <cell r="I8">
            <v>131011.00904578932</v>
          </cell>
        </row>
        <row r="14">
          <cell r="B14">
            <v>559</v>
          </cell>
          <cell r="C14">
            <v>1178</v>
          </cell>
          <cell r="D14">
            <v>375</v>
          </cell>
          <cell r="E14">
            <v>499.99999999999955</v>
          </cell>
          <cell r="F14">
            <v>499.99999999999955</v>
          </cell>
          <cell r="G14">
            <v>499.99999999999955</v>
          </cell>
          <cell r="H14">
            <v>499.99999999999955</v>
          </cell>
          <cell r="I14">
            <v>499.99999999999955</v>
          </cell>
        </row>
        <row r="18">
          <cell r="B18">
            <v>98325</v>
          </cell>
          <cell r="C18">
            <v>106742</v>
          </cell>
          <cell r="D18">
            <v>108281</v>
          </cell>
          <cell r="E18">
            <v>118896.9938972199</v>
          </cell>
          <cell r="F18">
            <v>129935.11019014125</v>
          </cell>
          <cell r="G18">
            <v>141087.91730425984</v>
          </cell>
          <cell r="H18">
            <v>152168.52027083174</v>
          </cell>
          <cell r="I18">
            <v>163174.94078188454</v>
          </cell>
        </row>
        <row r="21">
          <cell r="D21">
            <v>46755</v>
          </cell>
          <cell r="E21">
            <v>53640.430827373493</v>
          </cell>
          <cell r="F21">
            <v>60851.988860719663</v>
          </cell>
          <cell r="G21">
            <v>68111.84747862161</v>
          </cell>
          <cell r="H21">
            <v>75238.520642280419</v>
          </cell>
          <cell r="I21">
            <v>82236.157282905828</v>
          </cell>
        </row>
        <row r="30">
          <cell r="C30">
            <v>29892</v>
          </cell>
          <cell r="D30">
            <v>37826</v>
          </cell>
          <cell r="E30">
            <v>39330</v>
          </cell>
          <cell r="F30">
            <v>41167.966588575</v>
          </cell>
          <cell r="G30">
            <v>43066.05640952829</v>
          </cell>
          <cell r="H30">
            <v>45007.805822219088</v>
          </cell>
          <cell r="I30">
            <v>47012.692456122684</v>
          </cell>
        </row>
        <row r="31">
          <cell r="C31">
            <v>2829</v>
          </cell>
          <cell r="D31">
            <v>3243</v>
          </cell>
          <cell r="E31">
            <v>3675.933177150001</v>
          </cell>
          <cell r="F31">
            <v>3796.1796419065713</v>
          </cell>
          <cell r="G31">
            <v>3883.4988253815891</v>
          </cell>
          <cell r="H31">
            <v>4009.7732678071952</v>
          </cell>
          <cell r="I31">
            <v>4132.8459546815066</v>
          </cell>
        </row>
        <row r="32">
          <cell r="C32">
            <v>-1529</v>
          </cell>
          <cell r="D32">
            <v>-1623</v>
          </cell>
          <cell r="E32">
            <v>-1837.9665885750005</v>
          </cell>
          <cell r="F32">
            <v>-1898.0898209532857</v>
          </cell>
          <cell r="G32">
            <v>-1941.7494126907945</v>
          </cell>
          <cell r="H32">
            <v>-2004.8866339035976</v>
          </cell>
          <cell r="I32">
            <v>-2066.4229773407533</v>
          </cell>
        </row>
        <row r="33">
          <cell r="C33">
            <v>6634</v>
          </cell>
          <cell r="D33">
            <v>-116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C34">
            <v>37826</v>
          </cell>
          <cell r="D34">
            <v>39330</v>
          </cell>
          <cell r="E34">
            <v>41167.966588575</v>
          </cell>
          <cell r="F34">
            <v>43066.05640952829</v>
          </cell>
          <cell r="G34">
            <v>45007.805822219088</v>
          </cell>
          <cell r="H34">
            <v>47012.692456122684</v>
          </cell>
          <cell r="I34">
            <v>49079.115433463434</v>
          </cell>
        </row>
        <row r="36">
          <cell r="B36">
            <v>98325</v>
          </cell>
          <cell r="C36">
            <v>106742</v>
          </cell>
          <cell r="D36">
            <v>108281</v>
          </cell>
          <cell r="E36">
            <v>118896.9938972199</v>
          </cell>
          <cell r="F36">
            <v>129935.11019014122</v>
          </cell>
          <cell r="G36">
            <v>141087.91730425984</v>
          </cell>
          <cell r="H36">
            <v>152168.52027083174</v>
          </cell>
          <cell r="I36">
            <v>163174.94078188456</v>
          </cell>
        </row>
      </sheetData>
      <sheetData sheetId="7">
        <row r="23">
          <cell r="B23">
            <v>163</v>
          </cell>
          <cell r="C23">
            <v>559</v>
          </cell>
          <cell r="D23">
            <v>1178</v>
          </cell>
          <cell r="E23">
            <v>375</v>
          </cell>
          <cell r="F23">
            <v>499.99999999999955</v>
          </cell>
          <cell r="G23">
            <v>499.99999999999955</v>
          </cell>
          <cell r="H23">
            <v>499.99999999999955</v>
          </cell>
          <cell r="I23">
            <v>499.99999999999955</v>
          </cell>
        </row>
        <row r="24">
          <cell r="B24">
            <v>427</v>
          </cell>
          <cell r="C24">
            <v>765</v>
          </cell>
          <cell r="D24">
            <v>-948</v>
          </cell>
          <cell r="E24">
            <v>124.99999999999955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-31</v>
          </cell>
          <cell r="C25">
            <v>-146</v>
          </cell>
          <cell r="D25">
            <v>145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559</v>
          </cell>
          <cell r="C26">
            <v>1178</v>
          </cell>
          <cell r="D26">
            <v>375</v>
          </cell>
          <cell r="E26">
            <v>499.99999999999955</v>
          </cell>
          <cell r="F26">
            <v>499.99999999999955</v>
          </cell>
          <cell r="G26">
            <v>499.99999999999955</v>
          </cell>
          <cell r="H26">
            <v>499.99999999999955</v>
          </cell>
          <cell r="I26">
            <v>499.99999999999955</v>
          </cell>
        </row>
      </sheetData>
      <sheetData sheetId="8">
        <row r="5">
          <cell r="B5">
            <v>74091</v>
          </cell>
          <cell r="C5">
            <v>81520</v>
          </cell>
          <cell r="D5">
            <v>91044.565777219905</v>
          </cell>
          <cell r="E5">
            <v>101034.24110174124</v>
          </cell>
          <cell r="F5">
            <v>111116.13993761383</v>
          </cell>
          <cell r="G5">
            <v>121107.58651093698</v>
          </cell>
        </row>
        <row r="6">
          <cell r="B6">
            <v>10425</v>
          </cell>
          <cell r="C6">
            <v>11712.999999999998</v>
          </cell>
          <cell r="D6">
            <v>12433.8</v>
          </cell>
          <cell r="E6">
            <v>12794.199999999999</v>
          </cell>
          <cell r="F6">
            <v>12974.4</v>
          </cell>
          <cell r="G6">
            <v>13154.599999999999</v>
          </cell>
        </row>
        <row r="7">
          <cell r="B7">
            <v>1989</v>
          </cell>
          <cell r="C7">
            <v>2188.4342227800948</v>
          </cell>
          <cell r="D7">
            <v>2444.1246754786735</v>
          </cell>
          <cell r="E7">
            <v>2712.301164127402</v>
          </cell>
          <cell r="F7">
            <v>2982.9534266768424</v>
          </cell>
          <cell r="G7">
            <v>3251.177465147638</v>
          </cell>
        </row>
        <row r="8">
          <cell r="B8">
            <v>-1007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81520</v>
          </cell>
          <cell r="C9">
            <v>91044.565777219905</v>
          </cell>
          <cell r="D9">
            <v>101034.24110174124</v>
          </cell>
          <cell r="E9">
            <v>111116.13993761383</v>
          </cell>
          <cell r="F9">
            <v>121107.58651093698</v>
          </cell>
          <cell r="G9">
            <v>131011.00904578932</v>
          </cell>
        </row>
      </sheetData>
      <sheetData sheetId="9">
        <row r="5">
          <cell r="B5">
            <v>47539</v>
          </cell>
          <cell r="C5">
            <v>46755</v>
          </cell>
          <cell r="D5">
            <v>53640.430827373493</v>
          </cell>
          <cell r="E5">
            <v>60851.988860719663</v>
          </cell>
          <cell r="F5">
            <v>68111.84747862161</v>
          </cell>
          <cell r="G5">
            <v>75238.520642280419</v>
          </cell>
        </row>
        <row r="6">
          <cell r="B6">
            <v>4172</v>
          </cell>
          <cell r="C6">
            <v>5200</v>
          </cell>
          <cell r="D6">
            <v>5520</v>
          </cell>
          <cell r="E6">
            <v>5680</v>
          </cell>
          <cell r="F6">
            <v>5760</v>
          </cell>
          <cell r="G6">
            <v>5840</v>
          </cell>
        </row>
        <row r="7">
          <cell r="B7">
            <v>2961</v>
          </cell>
          <cell r="C7">
            <v>2922.1875</v>
          </cell>
          <cell r="D7">
            <v>3352.5269267108433</v>
          </cell>
          <cell r="E7">
            <v>3803.2493037949789</v>
          </cell>
          <cell r="F7">
            <v>4256.9904674138506</v>
          </cell>
          <cell r="G7">
            <v>4702.4075401425262</v>
          </cell>
        </row>
        <row r="8">
          <cell r="B8">
            <v>-1995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46755</v>
          </cell>
          <cell r="C9">
            <v>53640.430827373493</v>
          </cell>
          <cell r="D9">
            <v>60851.988860719663</v>
          </cell>
          <cell r="E9">
            <v>68111.84747862161</v>
          </cell>
          <cell r="F9">
            <v>75238.520642280419</v>
          </cell>
          <cell r="G9">
            <v>82236.157282905828</v>
          </cell>
        </row>
        <row r="13">
          <cell r="B13">
            <v>1705</v>
          </cell>
          <cell r="C13">
            <v>1819.9684374999999</v>
          </cell>
          <cell r="D13">
            <v>2134.2425271967045</v>
          </cell>
          <cell r="E13">
            <v>2471.6145683528871</v>
          </cell>
          <cell r="F13">
            <v>2754.5340897965875</v>
          </cell>
          <cell r="G13">
            <v>3032.2926748883665</v>
          </cell>
        </row>
        <row r="14">
          <cell r="B14">
            <v>0</v>
          </cell>
          <cell r="C14">
            <v>4607.6183273734914</v>
          </cell>
          <cell r="D14">
            <v>5044.0849600570164</v>
          </cell>
          <cell r="E14">
            <v>5383.1079216969247</v>
          </cell>
          <cell r="F14">
            <v>5623.6636310726608</v>
          </cell>
          <cell r="G14">
            <v>5860.0441807679326</v>
          </cell>
        </row>
      </sheetData>
      <sheetData sheetId="10" refreshError="1"/>
      <sheetData sheetId="11">
        <row r="13">
          <cell r="E13">
            <v>6.2266250284584421</v>
          </cell>
        </row>
        <row r="14">
          <cell r="E14">
            <v>3.3376530904811372</v>
          </cell>
        </row>
      </sheetData>
      <sheetData sheetId="12">
        <row r="13">
          <cell r="B13">
            <v>19101.960000000003</v>
          </cell>
        </row>
        <row r="14">
          <cell r="B14">
            <v>6074.4232800000009</v>
          </cell>
        </row>
        <row r="23">
          <cell r="B23">
            <v>3675.933177150001</v>
          </cell>
        </row>
        <row r="51">
          <cell r="B51">
            <v>500</v>
          </cell>
        </row>
        <row r="52">
          <cell r="B52">
            <v>53640.430827373493</v>
          </cell>
        </row>
        <row r="55">
          <cell r="B55">
            <v>6.2266250284584421</v>
          </cell>
        </row>
        <row r="56">
          <cell r="B56">
            <v>3.3376530904811372</v>
          </cell>
        </row>
      </sheetData>
      <sheetData sheetId="13">
        <row r="35">
          <cell r="B35">
            <v>121241.34978502541</v>
          </cell>
        </row>
        <row r="36">
          <cell r="B36">
            <v>-15594.033822053263</v>
          </cell>
        </row>
        <row r="37">
          <cell r="B37">
            <v>105647.31596297215</v>
          </cell>
        </row>
        <row r="38">
          <cell r="B38">
            <v>-46380</v>
          </cell>
        </row>
        <row r="39">
          <cell r="B39">
            <v>59267.315962972149</v>
          </cell>
        </row>
        <row r="40">
          <cell r="B40">
            <v>4971</v>
          </cell>
        </row>
        <row r="42">
          <cell r="B42">
            <v>1192.2614355858409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35FE-EB49-534E-A120-074A904B4887}">
  <dimension ref="A1:B39"/>
  <sheetViews>
    <sheetView zoomScale="150" workbookViewId="0">
      <selection activeCell="B5" sqref="B5"/>
    </sheetView>
  </sheetViews>
  <sheetFormatPr baseColWidth="10" defaultRowHeight="16"/>
  <cols>
    <col min="1" max="1" width="54" bestFit="1" customWidth="1"/>
    <col min="2" max="2" width="45.5" customWidth="1"/>
  </cols>
  <sheetData>
    <row r="1" spans="1:2" ht="19">
      <c r="A1" s="7" t="s">
        <v>0</v>
      </c>
      <c r="B1" s="7"/>
    </row>
    <row r="2" spans="1:2">
      <c r="A2" s="5" t="s">
        <v>1</v>
      </c>
      <c r="B2" s="5"/>
    </row>
    <row r="4" spans="1:2">
      <c r="A4" s="5" t="s">
        <v>2</v>
      </c>
      <c r="B4" s="6">
        <v>1</v>
      </c>
    </row>
    <row r="5" spans="1:2">
      <c r="A5" s="5" t="s">
        <v>3</v>
      </c>
      <c r="B5" s="1">
        <v>46270</v>
      </c>
    </row>
    <row r="6" spans="1:2">
      <c r="A6" s="5" t="s">
        <v>4</v>
      </c>
      <c r="B6" t="s">
        <v>47</v>
      </c>
    </row>
    <row r="7" spans="1:2">
      <c r="A7" s="5" t="s">
        <v>5</v>
      </c>
      <c r="B7" t="s">
        <v>176</v>
      </c>
    </row>
    <row r="8" spans="1:2">
      <c r="A8" s="5" t="s">
        <v>6</v>
      </c>
      <c r="B8" t="s">
        <v>7</v>
      </c>
    </row>
    <row r="9" spans="1:2">
      <c r="A9" s="5" t="s">
        <v>8</v>
      </c>
      <c r="B9" s="2">
        <v>46112</v>
      </c>
    </row>
    <row r="10" spans="1:2">
      <c r="A10" s="5"/>
    </row>
    <row r="11" spans="1:2" ht="129" customHeight="1">
      <c r="A11" s="8" t="s">
        <v>9</v>
      </c>
      <c r="B11" s="3" t="s">
        <v>10</v>
      </c>
    </row>
    <row r="14" spans="1:2">
      <c r="A14" s="5" t="s">
        <v>11</v>
      </c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19" spans="1:2">
      <c r="B19" t="s">
        <v>17</v>
      </c>
    </row>
    <row r="20" spans="1:2">
      <c r="B20" t="s">
        <v>18</v>
      </c>
    </row>
    <row r="21" spans="1:2">
      <c r="B21" t="s">
        <v>19</v>
      </c>
    </row>
    <row r="22" spans="1:2">
      <c r="B22" t="s">
        <v>20</v>
      </c>
    </row>
    <row r="23" spans="1:2">
      <c r="B23" t="s">
        <v>21</v>
      </c>
    </row>
    <row r="24" spans="1:2">
      <c r="B24" t="s">
        <v>22</v>
      </c>
    </row>
    <row r="25" spans="1:2">
      <c r="B25" t="s">
        <v>23</v>
      </c>
    </row>
    <row r="26" spans="1:2">
      <c r="B26" t="s">
        <v>24</v>
      </c>
    </row>
    <row r="27" spans="1:2">
      <c r="B27" t="s">
        <v>25</v>
      </c>
    </row>
    <row r="29" spans="1:2">
      <c r="A29" s="5" t="s">
        <v>26</v>
      </c>
    </row>
    <row r="30" spans="1:2">
      <c r="A30" s="4" t="s">
        <v>27</v>
      </c>
      <c r="B30" s="4" t="s">
        <v>28</v>
      </c>
    </row>
    <row r="31" spans="1:2">
      <c r="A31" t="s">
        <v>29</v>
      </c>
      <c r="B31" t="s">
        <v>30</v>
      </c>
    </row>
    <row r="32" spans="1:2">
      <c r="A32" t="s">
        <v>31</v>
      </c>
      <c r="B32" t="s">
        <v>32</v>
      </c>
    </row>
    <row r="33" spans="1:2">
      <c r="A33" t="s">
        <v>33</v>
      </c>
      <c r="B33" t="s">
        <v>34</v>
      </c>
    </row>
    <row r="34" spans="1:2">
      <c r="A34" t="s">
        <v>35</v>
      </c>
      <c r="B34" t="s">
        <v>36</v>
      </c>
    </row>
    <row r="35" spans="1:2" ht="17">
      <c r="A35" t="s">
        <v>37</v>
      </c>
      <c r="B35" t="s">
        <v>38</v>
      </c>
    </row>
    <row r="36" spans="1:2" ht="17">
      <c r="A36" t="s">
        <v>39</v>
      </c>
      <c r="B36" t="s">
        <v>46</v>
      </c>
    </row>
    <row r="37" spans="1:2">
      <c r="A37" t="s">
        <v>40</v>
      </c>
      <c r="B37" t="s">
        <v>41</v>
      </c>
    </row>
    <row r="38" spans="1:2" ht="17">
      <c r="A38" t="s">
        <v>42</v>
      </c>
      <c r="B38" t="s">
        <v>43</v>
      </c>
    </row>
    <row r="39" spans="1:2" ht="17">
      <c r="A39" t="s">
        <v>44</v>
      </c>
      <c r="B39" t="s">
        <v>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5C69-EC45-C145-936E-869E2067EE68}">
  <dimension ref="A1:H9"/>
  <sheetViews>
    <sheetView zoomScale="112" workbookViewId="0">
      <selection activeCell="B4" sqref="B4"/>
    </sheetView>
  </sheetViews>
  <sheetFormatPr baseColWidth="10" defaultRowHeight="16"/>
  <cols>
    <col min="1" max="1" width="20.33203125" customWidth="1"/>
    <col min="2" max="2" width="15.5" customWidth="1"/>
    <col min="3" max="3" width="17" bestFit="1" customWidth="1"/>
    <col min="5" max="5" width="13.1640625" bestFit="1" customWidth="1"/>
    <col min="7" max="7" width="17" bestFit="1" customWidth="1"/>
  </cols>
  <sheetData>
    <row r="1" spans="1:8">
      <c r="A1" s="9" t="s">
        <v>48</v>
      </c>
      <c r="B1" s="9"/>
    </row>
    <row r="4" spans="1:8">
      <c r="A4" t="s">
        <v>49</v>
      </c>
      <c r="B4" s="12" t="s">
        <v>50</v>
      </c>
      <c r="D4" t="s">
        <v>50</v>
      </c>
      <c r="H4">
        <v>2026</v>
      </c>
    </row>
    <row r="5" spans="1:8">
      <c r="A5" t="s">
        <v>51</v>
      </c>
      <c r="B5" s="11" t="s">
        <v>52</v>
      </c>
      <c r="D5" t="s">
        <v>58</v>
      </c>
    </row>
    <row r="6" spans="1:8">
      <c r="A6" t="s">
        <v>53</v>
      </c>
      <c r="B6" s="11" t="s">
        <v>54</v>
      </c>
      <c r="D6" t="s">
        <v>59</v>
      </c>
    </row>
    <row r="7" spans="1:8">
      <c r="A7" t="s">
        <v>55</v>
      </c>
      <c r="B7" s="11">
        <v>2026</v>
      </c>
    </row>
    <row r="8" spans="1:8">
      <c r="A8" t="s">
        <v>56</v>
      </c>
      <c r="B8" s="11">
        <v>2027</v>
      </c>
    </row>
    <row r="9" spans="1:8">
      <c r="A9" t="s">
        <v>57</v>
      </c>
      <c r="B9" s="11">
        <v>2031</v>
      </c>
    </row>
  </sheetData>
  <mergeCells count="1">
    <mergeCell ref="A1:B1"/>
  </mergeCells>
  <dataValidations count="1">
    <dataValidation type="list" allowBlank="1" showInputMessage="1" showErrorMessage="1" sqref="B4" xr:uid="{E93EB9D8-3D40-654F-B75C-01B21381546F}">
      <formula1>$D$4:$D$6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EF42-A932-F247-AC6A-AFD9BB268822}">
  <dimension ref="A1:H137"/>
  <sheetViews>
    <sheetView topLeftCell="A76" zoomScale="87" workbookViewId="0">
      <selection activeCell="C90" sqref="C90"/>
    </sheetView>
  </sheetViews>
  <sheetFormatPr baseColWidth="10" defaultRowHeight="16"/>
  <cols>
    <col min="1" max="1" width="54" customWidth="1"/>
  </cols>
  <sheetData>
    <row r="1" spans="1:5">
      <c r="A1" s="13" t="s">
        <v>60</v>
      </c>
      <c r="B1" s="13"/>
      <c r="C1" s="13"/>
      <c r="D1" s="13"/>
      <c r="E1" s="13"/>
    </row>
    <row r="3" spans="1:5">
      <c r="A3" t="s">
        <v>61</v>
      </c>
      <c r="B3" s="10" t="s">
        <v>62</v>
      </c>
    </row>
    <row r="4" spans="1:5">
      <c r="A4" t="s">
        <v>51</v>
      </c>
      <c r="B4" s="10" t="s">
        <v>41</v>
      </c>
    </row>
    <row r="6" spans="1:5">
      <c r="A6" s="15" t="s">
        <v>63</v>
      </c>
      <c r="B6" s="15"/>
      <c r="C6" s="15"/>
      <c r="D6" s="15"/>
    </row>
    <row r="7" spans="1:5">
      <c r="A7" s="5" t="s">
        <v>64</v>
      </c>
      <c r="B7" s="5" t="s">
        <v>65</v>
      </c>
      <c r="C7" s="5" t="s">
        <v>66</v>
      </c>
      <c r="D7" s="5" t="s">
        <v>67</v>
      </c>
    </row>
    <row r="8" spans="1:5">
      <c r="A8" t="s">
        <v>68</v>
      </c>
      <c r="B8" s="18">
        <v>19850</v>
      </c>
      <c r="C8" s="18">
        <v>18378</v>
      </c>
      <c r="D8" s="18">
        <v>17687</v>
      </c>
      <c r="E8" s="4"/>
    </row>
    <row r="9" spans="1:5">
      <c r="A9" t="s">
        <v>69</v>
      </c>
      <c r="B9" s="18">
        <v>-179</v>
      </c>
      <c r="C9" s="18">
        <v>-200</v>
      </c>
      <c r="D9" s="18">
        <v>-243</v>
      </c>
    </row>
    <row r="10" spans="1:5">
      <c r="A10" t="s">
        <v>70</v>
      </c>
      <c r="B10" s="18">
        <v>-15208</v>
      </c>
      <c r="C10" s="18">
        <v>-13244</v>
      </c>
      <c r="D10" s="18">
        <v>-12502</v>
      </c>
    </row>
    <row r="11" spans="1:5">
      <c r="A11" t="s">
        <v>71</v>
      </c>
      <c r="B11" s="18">
        <v>12</v>
      </c>
      <c r="C11" s="18">
        <v>0</v>
      </c>
      <c r="D11" s="18">
        <v>489</v>
      </c>
    </row>
    <row r="12" spans="1:5">
      <c r="A12" s="4" t="s">
        <v>72</v>
      </c>
      <c r="B12" s="19">
        <v>4475</v>
      </c>
      <c r="C12" s="19">
        <v>4934</v>
      </c>
      <c r="D12" s="19">
        <v>5431</v>
      </c>
    </row>
    <row r="13" spans="1:5">
      <c r="A13" t="s">
        <v>73</v>
      </c>
      <c r="B13" s="18">
        <v>248</v>
      </c>
      <c r="C13" s="18">
        <v>450</v>
      </c>
      <c r="D13" s="18">
        <v>380</v>
      </c>
    </row>
    <row r="14" spans="1:5">
      <c r="A14" t="s">
        <v>74</v>
      </c>
      <c r="B14" s="18">
        <v>-1712</v>
      </c>
      <c r="C14" s="18">
        <v>-1807</v>
      </c>
      <c r="D14" s="18">
        <v>-1705</v>
      </c>
    </row>
    <row r="15" spans="1:5">
      <c r="A15" t="s">
        <v>75</v>
      </c>
      <c r="B15" s="18">
        <v>37</v>
      </c>
      <c r="C15" s="18">
        <v>73</v>
      </c>
      <c r="D15" s="18">
        <v>76</v>
      </c>
    </row>
    <row r="16" spans="1:5">
      <c r="A16" s="4" t="s">
        <v>76</v>
      </c>
      <c r="B16" s="19">
        <v>3048</v>
      </c>
      <c r="C16" s="19">
        <v>3650</v>
      </c>
      <c r="D16" s="19">
        <v>4182</v>
      </c>
    </row>
    <row r="17" spans="1:4">
      <c r="A17" t="s">
        <v>77</v>
      </c>
      <c r="B17" s="18">
        <v>-831</v>
      </c>
      <c r="C17" s="18">
        <v>-821</v>
      </c>
      <c r="D17" s="18">
        <v>-939</v>
      </c>
    </row>
    <row r="18" spans="1:4">
      <c r="A18" s="4" t="s">
        <v>78</v>
      </c>
      <c r="B18" s="19">
        <v>2217</v>
      </c>
      <c r="C18" s="19">
        <v>2829</v>
      </c>
      <c r="D18" s="19">
        <v>3243</v>
      </c>
    </row>
    <row r="19" spans="1:4">
      <c r="A19" t="s">
        <v>79</v>
      </c>
      <c r="B19" s="18">
        <v>74</v>
      </c>
      <c r="C19" s="18">
        <v>76</v>
      </c>
      <c r="D19" s="18">
        <v>0</v>
      </c>
    </row>
    <row r="20" spans="1:4">
      <c r="A20" s="4" t="s">
        <v>80</v>
      </c>
      <c r="B20" s="19">
        <v>2291</v>
      </c>
      <c r="C20" s="19">
        <v>2905</v>
      </c>
      <c r="D20" s="19">
        <v>3243</v>
      </c>
    </row>
    <row r="23" spans="1:4">
      <c r="A23" s="15" t="s">
        <v>81</v>
      </c>
      <c r="B23" s="15"/>
      <c r="C23" s="15"/>
      <c r="D23" s="15"/>
    </row>
    <row r="24" spans="1:4">
      <c r="A24" s="4" t="s">
        <v>103</v>
      </c>
      <c r="B24" s="4" t="s">
        <v>65</v>
      </c>
      <c r="C24" s="4" t="s">
        <v>66</v>
      </c>
      <c r="D24" s="4" t="s">
        <v>67</v>
      </c>
    </row>
    <row r="25" spans="1:4">
      <c r="A25" s="5" t="s">
        <v>112</v>
      </c>
    </row>
    <row r="26" spans="1:4">
      <c r="A26" s="5" t="s">
        <v>92</v>
      </c>
    </row>
    <row r="27" spans="1:4">
      <c r="A27" t="s">
        <v>83</v>
      </c>
      <c r="B27" s="22">
        <v>9729</v>
      </c>
      <c r="C27" s="22">
        <v>9532</v>
      </c>
      <c r="D27" s="22">
        <v>9417</v>
      </c>
    </row>
    <row r="28" spans="1:4">
      <c r="A28" t="s">
        <v>84</v>
      </c>
      <c r="B28" s="22">
        <v>3431</v>
      </c>
      <c r="C28" s="22">
        <v>3564</v>
      </c>
      <c r="D28" s="22">
        <v>3879</v>
      </c>
    </row>
    <row r="29" spans="1:4">
      <c r="A29" t="s">
        <v>85</v>
      </c>
      <c r="B29" s="22">
        <v>68907</v>
      </c>
      <c r="C29" s="22">
        <v>74091</v>
      </c>
      <c r="D29" s="22">
        <v>81520</v>
      </c>
    </row>
    <row r="30" spans="1:4">
      <c r="A30" t="s">
        <v>86</v>
      </c>
      <c r="B30" s="22">
        <v>848</v>
      </c>
      <c r="C30" s="22">
        <v>959</v>
      </c>
      <c r="D30" s="22">
        <v>1384</v>
      </c>
    </row>
    <row r="31" spans="1:4">
      <c r="A31" t="s">
        <v>87</v>
      </c>
      <c r="B31" s="22">
        <v>2407</v>
      </c>
      <c r="C31" s="22">
        <v>2489</v>
      </c>
      <c r="D31" s="22">
        <v>2507</v>
      </c>
    </row>
    <row r="32" spans="1:4">
      <c r="A32" t="s">
        <v>88</v>
      </c>
      <c r="B32" s="22">
        <v>880</v>
      </c>
      <c r="C32" s="22">
        <v>798</v>
      </c>
      <c r="D32" s="22">
        <v>842</v>
      </c>
    </row>
    <row r="33" spans="1:4">
      <c r="A33" t="s">
        <v>89</v>
      </c>
      <c r="B33" s="22">
        <v>1420</v>
      </c>
      <c r="C33" s="22">
        <v>608</v>
      </c>
      <c r="D33" s="22">
        <v>624</v>
      </c>
    </row>
    <row r="34" spans="1:4">
      <c r="A34" t="s">
        <v>90</v>
      </c>
      <c r="B34" s="22">
        <v>324</v>
      </c>
      <c r="C34" s="22">
        <v>369</v>
      </c>
      <c r="D34" s="22">
        <v>623</v>
      </c>
    </row>
    <row r="35" spans="1:4">
      <c r="A35" s="4" t="s">
        <v>91</v>
      </c>
      <c r="B35" s="23">
        <v>87946</v>
      </c>
      <c r="C35" s="23">
        <v>92410</v>
      </c>
      <c r="D35" s="23">
        <v>100796</v>
      </c>
    </row>
    <row r="36" spans="1:4">
      <c r="A36" s="5" t="s">
        <v>93</v>
      </c>
      <c r="B36" s="22"/>
      <c r="C36" s="22"/>
      <c r="D36" s="22"/>
    </row>
    <row r="37" spans="1:4">
      <c r="A37" t="s">
        <v>94</v>
      </c>
      <c r="B37" s="22">
        <v>828</v>
      </c>
      <c r="C37" s="22">
        <v>557</v>
      </c>
      <c r="D37" s="22">
        <v>559</v>
      </c>
    </row>
    <row r="38" spans="1:4">
      <c r="A38" t="s">
        <v>95</v>
      </c>
      <c r="B38" s="22">
        <v>3415</v>
      </c>
      <c r="C38" s="22">
        <v>4092</v>
      </c>
      <c r="D38" s="22">
        <v>3867</v>
      </c>
    </row>
    <row r="39" spans="1:4">
      <c r="A39" t="s">
        <v>96</v>
      </c>
      <c r="B39" s="22">
        <v>11</v>
      </c>
      <c r="C39" s="22">
        <v>11</v>
      </c>
      <c r="D39" s="22">
        <v>16</v>
      </c>
    </row>
    <row r="40" spans="1:4">
      <c r="A40" t="s">
        <v>97</v>
      </c>
      <c r="B40" s="22">
        <v>3699</v>
      </c>
      <c r="C40" s="22">
        <v>5753</v>
      </c>
      <c r="D40" s="22">
        <v>2453</v>
      </c>
    </row>
    <row r="41" spans="1:4">
      <c r="A41" t="s">
        <v>98</v>
      </c>
      <c r="B41" s="22">
        <v>44</v>
      </c>
      <c r="C41" s="22">
        <v>113</v>
      </c>
      <c r="D41" s="22">
        <v>215</v>
      </c>
    </row>
    <row r="42" spans="1:4">
      <c r="A42" t="s">
        <v>99</v>
      </c>
      <c r="B42" s="22">
        <v>559</v>
      </c>
      <c r="C42" s="22">
        <v>1178</v>
      </c>
      <c r="D42" s="22">
        <v>375</v>
      </c>
    </row>
    <row r="43" spans="1:4">
      <c r="A43" t="s">
        <v>100</v>
      </c>
      <c r="B43" s="22">
        <v>1823</v>
      </c>
      <c r="C43" s="22">
        <v>2628</v>
      </c>
      <c r="D43" s="22">
        <v>0</v>
      </c>
    </row>
    <row r="44" spans="1:4">
      <c r="A44" s="4" t="s">
        <v>101</v>
      </c>
      <c r="B44" s="23">
        <v>10379</v>
      </c>
      <c r="C44" s="23">
        <v>14332</v>
      </c>
      <c r="D44" s="23">
        <v>7485</v>
      </c>
    </row>
    <row r="45" spans="1:4">
      <c r="A45" s="4" t="s">
        <v>102</v>
      </c>
      <c r="B45" s="23">
        <v>98325</v>
      </c>
      <c r="C45" s="23">
        <v>106742</v>
      </c>
      <c r="D45" s="23">
        <v>108281</v>
      </c>
    </row>
    <row r="47" spans="1:4" ht="19">
      <c r="A47" s="24" t="s">
        <v>113</v>
      </c>
      <c r="B47" s="23"/>
      <c r="C47" s="23"/>
    </row>
    <row r="48" spans="1:4">
      <c r="A48" s="5" t="s">
        <v>114</v>
      </c>
    </row>
    <row r="49" spans="1:8">
      <c r="A49" t="s">
        <v>104</v>
      </c>
      <c r="B49" s="19">
        <v>-4859</v>
      </c>
      <c r="C49" s="18">
        <v>-4662</v>
      </c>
      <c r="D49" s="18">
        <v>-3900</v>
      </c>
      <c r="F49" s="4"/>
      <c r="G49" s="4"/>
      <c r="H49" s="4"/>
    </row>
    <row r="50" spans="1:8">
      <c r="A50" t="s">
        <v>105</v>
      </c>
      <c r="B50" s="19">
        <v>-335</v>
      </c>
      <c r="C50" s="18">
        <v>-381</v>
      </c>
      <c r="D50" s="18">
        <v>-268</v>
      </c>
      <c r="F50" s="4"/>
      <c r="H50" s="17"/>
    </row>
    <row r="51" spans="1:8">
      <c r="A51" t="s">
        <v>106</v>
      </c>
      <c r="B51" s="19">
        <v>-4076</v>
      </c>
      <c r="C51" s="18">
        <v>-4472</v>
      </c>
      <c r="D51" s="18">
        <v>-5049</v>
      </c>
      <c r="F51" s="4"/>
      <c r="H51" s="4"/>
    </row>
    <row r="52" spans="1:8">
      <c r="A52" t="s">
        <v>107</v>
      </c>
      <c r="B52" s="19">
        <v>-127</v>
      </c>
      <c r="C52" s="18">
        <v>-96</v>
      </c>
      <c r="D52" s="18">
        <v>-110</v>
      </c>
      <c r="F52" s="4"/>
      <c r="H52" s="17"/>
    </row>
    <row r="53" spans="1:8">
      <c r="A53" t="s">
        <v>108</v>
      </c>
      <c r="B53" s="19">
        <v>-220</v>
      </c>
      <c r="C53" s="18">
        <v>-219</v>
      </c>
      <c r="D53" s="18">
        <v>-45</v>
      </c>
      <c r="F53" s="4"/>
      <c r="H53" s="4"/>
    </row>
    <row r="54" spans="1:8">
      <c r="A54" t="s">
        <v>109</v>
      </c>
      <c r="B54" s="19">
        <v>-298</v>
      </c>
      <c r="C54" s="18">
        <v>-357</v>
      </c>
      <c r="D54" s="18">
        <v>-425</v>
      </c>
      <c r="F54" s="4"/>
      <c r="H54" s="4"/>
    </row>
    <row r="55" spans="1:8">
      <c r="A55" t="s">
        <v>110</v>
      </c>
      <c r="B55" s="19">
        <v>-1474</v>
      </c>
      <c r="C55" s="18">
        <v>-434</v>
      </c>
      <c r="D55" s="18">
        <v>0</v>
      </c>
      <c r="F55" s="4"/>
      <c r="H55" s="4"/>
    </row>
    <row r="56" spans="1:8">
      <c r="A56" s="4" t="s">
        <v>111</v>
      </c>
      <c r="B56" s="19">
        <v>-11389</v>
      </c>
      <c r="C56" s="19">
        <v>-10621</v>
      </c>
      <c r="D56" s="19">
        <v>-9797</v>
      </c>
      <c r="F56" s="4"/>
      <c r="H56" s="17"/>
    </row>
    <row r="57" spans="1:8">
      <c r="A57" s="5" t="s">
        <v>115</v>
      </c>
      <c r="B57" s="18"/>
      <c r="C57" s="18"/>
      <c r="D57" s="18"/>
      <c r="F57" s="4"/>
      <c r="G57" s="4"/>
      <c r="H57" s="17"/>
    </row>
    <row r="58" spans="1:8">
      <c r="A58" t="s">
        <v>116</v>
      </c>
      <c r="B58" s="19">
        <v>-42213</v>
      </c>
      <c r="C58" s="18">
        <v>-42877</v>
      </c>
      <c r="D58" s="18">
        <v>-42855</v>
      </c>
      <c r="E58" s="4"/>
      <c r="F58" s="4"/>
      <c r="H58" s="17"/>
    </row>
    <row r="59" spans="1:8">
      <c r="A59" t="s">
        <v>117</v>
      </c>
      <c r="B59" s="19">
        <v>-909</v>
      </c>
      <c r="C59" s="18">
        <v>-821</v>
      </c>
      <c r="D59" s="18">
        <v>-750</v>
      </c>
      <c r="F59" s="4"/>
      <c r="H59" s="4"/>
    </row>
    <row r="60" spans="1:8">
      <c r="A60" t="s">
        <v>118</v>
      </c>
      <c r="B60" s="19">
        <v>-880</v>
      </c>
      <c r="C60" s="18">
        <v>-876</v>
      </c>
      <c r="D60" s="18">
        <v>-1114</v>
      </c>
      <c r="F60" s="4"/>
      <c r="H60" s="4"/>
    </row>
    <row r="61" spans="1:8">
      <c r="A61" t="s">
        <v>119</v>
      </c>
      <c r="B61" s="19">
        <v>-2119</v>
      </c>
      <c r="C61" s="18">
        <v>-2418</v>
      </c>
      <c r="D61" s="18">
        <v>-2699</v>
      </c>
      <c r="F61" s="4"/>
      <c r="H61" s="17"/>
    </row>
    <row r="62" spans="1:8">
      <c r="A62" t="s">
        <v>120</v>
      </c>
      <c r="B62" s="19">
        <v>-7519</v>
      </c>
      <c r="C62" s="18">
        <v>-8038</v>
      </c>
      <c r="D62" s="18">
        <v>-9040</v>
      </c>
      <c r="F62" s="4"/>
      <c r="H62" s="17"/>
    </row>
    <row r="63" spans="1:8">
      <c r="A63" t="s">
        <v>121</v>
      </c>
      <c r="B63" s="19">
        <v>-593</v>
      </c>
      <c r="C63" s="18">
        <v>-573</v>
      </c>
      <c r="D63" s="18">
        <v>-360</v>
      </c>
      <c r="F63" s="4"/>
      <c r="H63" s="4"/>
    </row>
    <row r="64" spans="1:8">
      <c r="A64" t="s">
        <v>122</v>
      </c>
      <c r="B64" s="19">
        <v>-2811</v>
      </c>
      <c r="C64" s="18">
        <v>-2692</v>
      </c>
      <c r="D64" s="18">
        <v>-2336</v>
      </c>
      <c r="F64" s="4"/>
      <c r="H64" s="17"/>
    </row>
    <row r="65" spans="1:8">
      <c r="A65" s="4" t="s">
        <v>123</v>
      </c>
      <c r="B65" s="19">
        <v>-57044</v>
      </c>
      <c r="C65" s="19">
        <v>-58295</v>
      </c>
      <c r="D65" s="19">
        <v>-59154</v>
      </c>
      <c r="F65" s="4"/>
      <c r="G65" s="4"/>
      <c r="H65" s="17"/>
    </row>
    <row r="66" spans="1:8">
      <c r="A66" s="4" t="s">
        <v>124</v>
      </c>
      <c r="B66" s="19">
        <v>-68433</v>
      </c>
      <c r="C66" s="19">
        <v>-68916</v>
      </c>
      <c r="D66" s="19">
        <v>-68951</v>
      </c>
      <c r="F66" s="4"/>
      <c r="G66" s="4"/>
      <c r="H66" s="17"/>
    </row>
    <row r="68" spans="1:8">
      <c r="A68" s="5" t="s">
        <v>125</v>
      </c>
      <c r="B68" s="26">
        <f>29892</f>
        <v>29892</v>
      </c>
      <c r="C68" s="26">
        <f>37826</f>
        <v>37826</v>
      </c>
      <c r="D68" s="26">
        <f>39330</f>
        <v>39330</v>
      </c>
    </row>
    <row r="70" spans="1:8">
      <c r="A70" s="5" t="s">
        <v>126</v>
      </c>
    </row>
    <row r="71" spans="1:8">
      <c r="A71" t="s">
        <v>127</v>
      </c>
      <c r="B71" s="18">
        <v>493</v>
      </c>
      <c r="C71" s="18">
        <v>638</v>
      </c>
      <c r="D71" s="18">
        <v>647</v>
      </c>
      <c r="E71" s="4"/>
    </row>
    <row r="72" spans="1:8">
      <c r="A72" t="s">
        <v>128</v>
      </c>
      <c r="B72" s="18">
        <v>1298</v>
      </c>
      <c r="C72" s="18">
        <v>1292</v>
      </c>
      <c r="D72" s="18">
        <v>1285</v>
      </c>
    </row>
    <row r="73" spans="1:8">
      <c r="A73" t="s">
        <v>129</v>
      </c>
      <c r="B73" s="18">
        <v>32066</v>
      </c>
      <c r="C73" s="18">
        <v>40106</v>
      </c>
      <c r="D73" s="18">
        <v>41909</v>
      </c>
    </row>
    <row r="74" spans="1:8">
      <c r="A74" t="s">
        <v>130</v>
      </c>
      <c r="B74" s="18">
        <v>-3990</v>
      </c>
      <c r="C74" s="18">
        <v>-4233</v>
      </c>
      <c r="D74" s="18">
        <v>-4542</v>
      </c>
    </row>
    <row r="75" spans="1:8">
      <c r="A75" s="4" t="s">
        <v>131</v>
      </c>
      <c r="B75" s="19">
        <v>29867</v>
      </c>
      <c r="C75" s="19">
        <v>37803</v>
      </c>
      <c r="D75" s="19">
        <v>39299</v>
      </c>
    </row>
    <row r="76" spans="1:8">
      <c r="A76" t="s">
        <v>132</v>
      </c>
      <c r="B76" s="18">
        <v>25</v>
      </c>
      <c r="C76" s="18">
        <v>23</v>
      </c>
      <c r="D76" s="18">
        <v>31</v>
      </c>
    </row>
    <row r="77" spans="1:8">
      <c r="A77" s="4" t="s">
        <v>133</v>
      </c>
      <c r="B77" s="19">
        <v>29892</v>
      </c>
      <c r="C77" s="19">
        <v>37826</v>
      </c>
      <c r="D77" s="19">
        <v>39330</v>
      </c>
    </row>
    <row r="78" spans="1:8">
      <c r="A78" s="4"/>
    </row>
    <row r="80" spans="1:8">
      <c r="A80" s="15" t="s">
        <v>134</v>
      </c>
      <c r="B80" s="15"/>
      <c r="C80" s="15"/>
      <c r="D80" s="15"/>
    </row>
    <row r="81" spans="1:5">
      <c r="A81" t="s">
        <v>135</v>
      </c>
      <c r="B81" s="4" t="s">
        <v>65</v>
      </c>
      <c r="C81" s="4" t="s">
        <v>66</v>
      </c>
      <c r="D81" s="4" t="s">
        <v>67</v>
      </c>
    </row>
    <row r="82" spans="1:5">
      <c r="A82" s="4" t="s">
        <v>136</v>
      </c>
      <c r="E82" s="4"/>
    </row>
    <row r="83" spans="1:5">
      <c r="A83" t="s">
        <v>137</v>
      </c>
      <c r="B83" s="18">
        <v>4475</v>
      </c>
      <c r="C83" s="18">
        <v>4934</v>
      </c>
      <c r="D83" s="18">
        <v>5431</v>
      </c>
    </row>
    <row r="84" spans="1:5">
      <c r="A84" t="s">
        <v>138</v>
      </c>
      <c r="B84" s="18">
        <v>987</v>
      </c>
      <c r="C84" s="18">
        <v>-169</v>
      </c>
      <c r="D84" s="18">
        <v>-387</v>
      </c>
    </row>
    <row r="85" spans="1:5">
      <c r="A85" t="s">
        <v>139</v>
      </c>
      <c r="B85" s="18">
        <v>-16</v>
      </c>
      <c r="C85" s="18">
        <v>66</v>
      </c>
      <c r="D85" s="18">
        <v>-31</v>
      </c>
    </row>
    <row r="86" spans="1:5">
      <c r="A86" t="s">
        <v>140</v>
      </c>
      <c r="B86" s="18">
        <v>2061</v>
      </c>
      <c r="C86" s="18">
        <v>2175</v>
      </c>
      <c r="D86" s="18">
        <v>2247</v>
      </c>
    </row>
    <row r="87" spans="1:5">
      <c r="A87" t="s">
        <v>141</v>
      </c>
      <c r="B87" s="18">
        <v>37</v>
      </c>
      <c r="C87" s="18">
        <v>37</v>
      </c>
      <c r="D87" s="18">
        <v>45</v>
      </c>
    </row>
    <row r="88" spans="1:5">
      <c r="A88" t="s">
        <v>142</v>
      </c>
      <c r="B88" s="18">
        <v>-49</v>
      </c>
      <c r="C88" s="18">
        <v>104</v>
      </c>
      <c r="D88" s="18">
        <v>759</v>
      </c>
    </row>
    <row r="89" spans="1:5">
      <c r="A89" t="s">
        <v>143</v>
      </c>
      <c r="B89" s="18">
        <v>-154</v>
      </c>
      <c r="C89" s="18">
        <v>10</v>
      </c>
      <c r="D89" s="18">
        <v>-127</v>
      </c>
    </row>
    <row r="90" spans="1:5">
      <c r="A90" t="s">
        <v>144</v>
      </c>
      <c r="B90" s="18">
        <v>31</v>
      </c>
      <c r="C90" s="18">
        <v>-90</v>
      </c>
      <c r="D90" s="18">
        <v>-31</v>
      </c>
    </row>
    <row r="91" spans="1:5">
      <c r="A91" t="s">
        <v>145</v>
      </c>
      <c r="B91" s="18">
        <v>-91</v>
      </c>
      <c r="C91" s="18">
        <v>-76</v>
      </c>
      <c r="D91" s="18">
        <v>-45</v>
      </c>
    </row>
    <row r="92" spans="1:5">
      <c r="A92" s="4" t="s">
        <v>146</v>
      </c>
      <c r="B92" s="19">
        <v>7281</v>
      </c>
      <c r="C92" s="19">
        <v>6991</v>
      </c>
      <c r="D92" s="19">
        <v>7861</v>
      </c>
    </row>
    <row r="93" spans="1:5">
      <c r="A93" t="s">
        <v>147</v>
      </c>
      <c r="B93" s="18">
        <v>-342</v>
      </c>
      <c r="C93" s="18">
        <v>-183</v>
      </c>
      <c r="D93" s="18">
        <v>-32</v>
      </c>
    </row>
    <row r="94" spans="1:5">
      <c r="A94" s="4" t="s">
        <v>148</v>
      </c>
      <c r="B94" s="19">
        <v>6939</v>
      </c>
      <c r="C94" s="19">
        <v>6808</v>
      </c>
      <c r="D94" s="19">
        <v>7829</v>
      </c>
    </row>
    <row r="95" spans="1:5">
      <c r="B95" s="18"/>
      <c r="C95" s="18"/>
      <c r="D95" s="18"/>
    </row>
    <row r="96" spans="1:5">
      <c r="A96" s="4" t="s">
        <v>149</v>
      </c>
      <c r="B96" s="18"/>
      <c r="C96" s="18"/>
      <c r="D96" s="18"/>
    </row>
    <row r="97" spans="1:5">
      <c r="A97" t="s">
        <v>150</v>
      </c>
      <c r="B97" s="18">
        <v>-549</v>
      </c>
      <c r="C97" s="18">
        <v>-526</v>
      </c>
      <c r="D97" s="18">
        <v>-586</v>
      </c>
    </row>
    <row r="98" spans="1:5">
      <c r="A98" t="s">
        <v>151</v>
      </c>
      <c r="B98" s="18">
        <v>-6904</v>
      </c>
      <c r="C98" s="18">
        <v>-8780</v>
      </c>
      <c r="D98" s="18">
        <v>-9989</v>
      </c>
    </row>
    <row r="99" spans="1:5">
      <c r="A99" t="s">
        <v>152</v>
      </c>
      <c r="B99" s="18">
        <v>52</v>
      </c>
      <c r="C99" s="18">
        <v>26</v>
      </c>
      <c r="D99" s="18">
        <v>68</v>
      </c>
    </row>
    <row r="100" spans="1:5">
      <c r="A100" t="s">
        <v>89</v>
      </c>
      <c r="B100" s="18">
        <v>-332</v>
      </c>
      <c r="C100" s="18">
        <v>-396</v>
      </c>
      <c r="D100" s="18">
        <v>-94</v>
      </c>
    </row>
    <row r="101" spans="1:5">
      <c r="A101" t="s">
        <v>153</v>
      </c>
      <c r="B101" s="18">
        <v>176</v>
      </c>
      <c r="C101" s="18">
        <v>126</v>
      </c>
      <c r="D101" s="18">
        <v>105</v>
      </c>
    </row>
    <row r="102" spans="1:5">
      <c r="A102" t="s">
        <v>154</v>
      </c>
      <c r="B102" s="18">
        <v>0</v>
      </c>
      <c r="C102" s="18">
        <v>577</v>
      </c>
      <c r="D102" s="18">
        <v>0</v>
      </c>
    </row>
    <row r="103" spans="1:5">
      <c r="A103" t="s">
        <v>155</v>
      </c>
      <c r="B103" s="18">
        <v>681</v>
      </c>
      <c r="C103" s="18">
        <v>686</v>
      </c>
      <c r="D103" s="18">
        <v>0</v>
      </c>
    </row>
    <row r="104" spans="1:5">
      <c r="A104" t="s">
        <v>156</v>
      </c>
      <c r="B104" s="18">
        <v>0</v>
      </c>
      <c r="C104" s="18">
        <v>0</v>
      </c>
      <c r="D104" s="18">
        <v>1473</v>
      </c>
    </row>
    <row r="105" spans="1:5">
      <c r="A105" t="s">
        <v>157</v>
      </c>
      <c r="B105" s="18">
        <v>0</v>
      </c>
      <c r="C105" s="18">
        <v>0</v>
      </c>
      <c r="D105" s="18">
        <v>1336</v>
      </c>
    </row>
    <row r="106" spans="1:5">
      <c r="A106" t="s">
        <v>190</v>
      </c>
      <c r="B106" s="40">
        <v>102</v>
      </c>
      <c r="C106" s="40">
        <v>85</v>
      </c>
      <c r="D106" s="40">
        <v>67</v>
      </c>
    </row>
    <row r="107" spans="1:5">
      <c r="A107" t="s">
        <v>191</v>
      </c>
      <c r="B107" s="40">
        <v>-81</v>
      </c>
      <c r="C107" s="40">
        <v>-122</v>
      </c>
      <c r="D107" s="40">
        <v>-67</v>
      </c>
    </row>
    <row r="108" spans="1:5">
      <c r="A108" t="s">
        <v>192</v>
      </c>
      <c r="B108" s="40">
        <v>-19</v>
      </c>
      <c r="C108" s="40">
        <v>0</v>
      </c>
      <c r="D108" s="40">
        <v>0</v>
      </c>
    </row>
    <row r="109" spans="1:5">
      <c r="A109" t="s">
        <v>158</v>
      </c>
      <c r="B109" s="40">
        <v>-1141</v>
      </c>
      <c r="C109" s="40">
        <v>-2606</v>
      </c>
      <c r="D109" s="40">
        <v>3285</v>
      </c>
    </row>
    <row r="110" spans="1:5">
      <c r="A110" t="s">
        <v>159</v>
      </c>
      <c r="B110" s="18">
        <v>148</v>
      </c>
      <c r="C110" s="18">
        <v>332</v>
      </c>
      <c r="D110" s="18">
        <v>231</v>
      </c>
    </row>
    <row r="111" spans="1:5" ht="17">
      <c r="A111" t="s">
        <v>193</v>
      </c>
      <c r="B111" s="41">
        <v>123</v>
      </c>
      <c r="C111" s="41">
        <v>11</v>
      </c>
      <c r="D111" s="41">
        <v>20</v>
      </c>
      <c r="E111" s="4"/>
    </row>
    <row r="112" spans="1:5" ht="17">
      <c r="A112" t="s">
        <v>194</v>
      </c>
      <c r="B112" s="41">
        <v>0</v>
      </c>
      <c r="C112" s="41">
        <v>-6</v>
      </c>
      <c r="D112" s="41">
        <v>-6</v>
      </c>
    </row>
    <row r="113" spans="1:4" ht="17">
      <c r="A113" t="s">
        <v>145</v>
      </c>
      <c r="B113" s="41">
        <v>143</v>
      </c>
      <c r="C113" s="41">
        <v>0</v>
      </c>
      <c r="D113" s="41">
        <v>0</v>
      </c>
    </row>
    <row r="114" spans="1:4">
      <c r="A114" s="4" t="s">
        <v>160</v>
      </c>
      <c r="B114" s="19">
        <v>-7601</v>
      </c>
      <c r="C114" s="19">
        <v>-10593</v>
      </c>
      <c r="D114" s="19">
        <v>-4157</v>
      </c>
    </row>
    <row r="115" spans="1:4">
      <c r="B115" s="20"/>
    </row>
    <row r="116" spans="1:4">
      <c r="A116" s="4" t="s">
        <v>161</v>
      </c>
      <c r="B116" s="18"/>
      <c r="C116" s="18"/>
      <c r="D116" s="18"/>
    </row>
    <row r="117" spans="1:4">
      <c r="A117" t="s">
        <v>162</v>
      </c>
      <c r="B117" s="18">
        <v>0</v>
      </c>
      <c r="C117" s="18">
        <v>7001</v>
      </c>
      <c r="D117" s="18">
        <v>0</v>
      </c>
    </row>
    <row r="118" spans="1:4">
      <c r="A118" t="s">
        <v>163</v>
      </c>
      <c r="B118" s="18">
        <v>0</v>
      </c>
      <c r="C118" s="18">
        <v>-162</v>
      </c>
      <c r="D118" s="18">
        <v>0</v>
      </c>
    </row>
    <row r="119" spans="1:4">
      <c r="A119" t="s">
        <v>164</v>
      </c>
      <c r="B119" s="18">
        <v>5563</v>
      </c>
      <c r="C119" s="18">
        <v>3237</v>
      </c>
      <c r="D119" s="18">
        <v>4172</v>
      </c>
    </row>
    <row r="120" spans="1:4">
      <c r="A120" t="s">
        <v>165</v>
      </c>
      <c r="B120" s="18">
        <v>-1701</v>
      </c>
      <c r="C120" s="18">
        <v>-2861</v>
      </c>
      <c r="D120" s="18">
        <v>-2961</v>
      </c>
    </row>
    <row r="121" spans="1:4">
      <c r="A121" t="s">
        <v>166</v>
      </c>
      <c r="B121" s="18">
        <v>-118</v>
      </c>
      <c r="C121" s="18">
        <v>-130</v>
      </c>
      <c r="D121" s="18">
        <v>-145</v>
      </c>
    </row>
    <row r="122" spans="1:4">
      <c r="A122" t="s">
        <v>195</v>
      </c>
      <c r="B122" s="18">
        <v>20</v>
      </c>
      <c r="C122" s="18">
        <v>18</v>
      </c>
      <c r="D122" s="18">
        <v>40</v>
      </c>
    </row>
    <row r="123" spans="1:4">
      <c r="A123" t="s">
        <v>196</v>
      </c>
      <c r="B123" s="18">
        <f>-4</f>
        <v>-4</v>
      </c>
      <c r="C123" s="18">
        <f>-7</f>
        <v>-7</v>
      </c>
      <c r="D123" s="18">
        <f>-1</f>
        <v>-1</v>
      </c>
    </row>
    <row r="124" spans="1:4">
      <c r="A124" t="s">
        <v>193</v>
      </c>
      <c r="B124" s="18">
        <v>86</v>
      </c>
      <c r="C124" s="18">
        <v>62</v>
      </c>
      <c r="D124" s="18">
        <v>93</v>
      </c>
    </row>
    <row r="125" spans="1:4">
      <c r="A125" t="s">
        <v>194</v>
      </c>
      <c r="B125" s="18">
        <f>-58</f>
        <v>-58</v>
      </c>
      <c r="C125" s="18">
        <f>-106</f>
        <v>-106</v>
      </c>
      <c r="D125" s="18">
        <f>-38</f>
        <v>-38</v>
      </c>
    </row>
    <row r="126" spans="1:4">
      <c r="A126" t="s">
        <v>167</v>
      </c>
      <c r="B126" s="18">
        <v>544</v>
      </c>
      <c r="C126" s="18">
        <v>925</v>
      </c>
      <c r="D126" s="18">
        <v>-2225</v>
      </c>
    </row>
    <row r="127" spans="1:4">
      <c r="A127" t="s">
        <v>168</v>
      </c>
      <c r="B127" s="18">
        <v>-1627</v>
      </c>
      <c r="C127" s="18">
        <v>-1920</v>
      </c>
      <c r="D127" s="18">
        <v>-1932</v>
      </c>
    </row>
    <row r="128" spans="1:4">
      <c r="A128" t="s">
        <v>169</v>
      </c>
      <c r="B128" s="18">
        <v>-1718</v>
      </c>
      <c r="C128" s="18">
        <v>-1529</v>
      </c>
      <c r="D128" s="18">
        <v>-1623</v>
      </c>
    </row>
    <row r="129" spans="1:4">
      <c r="A129" s="4" t="s">
        <v>170</v>
      </c>
      <c r="B129" s="19">
        <v>987</v>
      </c>
      <c r="C129" s="19">
        <v>4528</v>
      </c>
      <c r="D129" s="19">
        <v>-4620</v>
      </c>
    </row>
    <row r="130" spans="1:4">
      <c r="B130" s="18"/>
      <c r="C130" s="18"/>
      <c r="D130" s="18"/>
    </row>
    <row r="131" spans="1:4">
      <c r="A131" t="s">
        <v>171</v>
      </c>
      <c r="B131" s="18">
        <v>427</v>
      </c>
      <c r="C131" s="18">
        <v>765</v>
      </c>
      <c r="D131" s="18">
        <v>-948</v>
      </c>
    </row>
    <row r="132" spans="1:4">
      <c r="A132" t="s">
        <v>172</v>
      </c>
      <c r="B132" s="18">
        <v>-30</v>
      </c>
      <c r="C132" s="18">
        <v>-123</v>
      </c>
      <c r="D132" s="18">
        <v>153</v>
      </c>
    </row>
    <row r="133" spans="1:4">
      <c r="A133" t="s">
        <v>173</v>
      </c>
      <c r="B133" s="18">
        <v>-1</v>
      </c>
      <c r="C133" s="18">
        <v>-23</v>
      </c>
      <c r="D133" s="18">
        <v>-8</v>
      </c>
    </row>
    <row r="134" spans="1:4">
      <c r="A134" t="s">
        <v>174</v>
      </c>
      <c r="B134" s="18">
        <v>163</v>
      </c>
      <c r="C134" s="18">
        <v>559</v>
      </c>
      <c r="D134" s="18">
        <v>1178</v>
      </c>
    </row>
    <row r="135" spans="1:4">
      <c r="A135" s="4" t="s">
        <v>175</v>
      </c>
      <c r="B135" s="19">
        <v>559</v>
      </c>
      <c r="C135" s="19">
        <v>1178</v>
      </c>
      <c r="D135" s="19">
        <v>375</v>
      </c>
    </row>
    <row r="136" spans="1:4">
      <c r="A136" s="4"/>
    </row>
    <row r="137" spans="1:4">
      <c r="A137" t="s">
        <v>197</v>
      </c>
      <c r="B137" s="18">
        <v>102</v>
      </c>
      <c r="C137" s="18">
        <v>22</v>
      </c>
      <c r="D137" s="18">
        <v>0</v>
      </c>
    </row>
  </sheetData>
  <mergeCells count="4">
    <mergeCell ref="A1:E1"/>
    <mergeCell ref="A6:D6"/>
    <mergeCell ref="A23:D23"/>
    <mergeCell ref="A80:D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DD09-5345-7641-9BFF-B23FC9BD4542}">
  <dimension ref="A1:F150"/>
  <sheetViews>
    <sheetView zoomScale="75" workbookViewId="0">
      <selection activeCell="C34" sqref="C34"/>
    </sheetView>
  </sheetViews>
  <sheetFormatPr baseColWidth="10" defaultRowHeight="16"/>
  <cols>
    <col min="1" max="1" width="49.5" bestFit="1" customWidth="1"/>
  </cols>
  <sheetData>
    <row r="1" spans="1:6">
      <c r="A1" s="15" t="s">
        <v>177</v>
      </c>
      <c r="B1" s="15"/>
      <c r="C1" s="15"/>
      <c r="D1" s="15"/>
      <c r="E1" s="33"/>
      <c r="F1" s="33"/>
    </row>
    <row r="3" spans="1:6">
      <c r="A3" s="5" t="s">
        <v>178</v>
      </c>
      <c r="B3" s="5" t="s">
        <v>65</v>
      </c>
      <c r="C3" s="5" t="s">
        <v>66</v>
      </c>
      <c r="D3" s="5" t="s">
        <v>67</v>
      </c>
    </row>
    <row r="5" spans="1:6">
      <c r="A5" s="15" t="s">
        <v>179</v>
      </c>
      <c r="B5" s="15"/>
      <c r="C5" s="15"/>
      <c r="D5" s="15"/>
    </row>
    <row r="6" spans="1:6">
      <c r="A6" t="s">
        <v>68</v>
      </c>
      <c r="B6" s="34">
        <f>'02_RAW_DATA'!B8</f>
        <v>19850</v>
      </c>
      <c r="C6" s="34">
        <f>'02_RAW_DATA'!C8</f>
        <v>18378</v>
      </c>
      <c r="D6" s="34">
        <f>'02_RAW_DATA'!D8</f>
        <v>17687</v>
      </c>
    </row>
    <row r="7" spans="1:6">
      <c r="A7" t="s">
        <v>180</v>
      </c>
      <c r="C7" s="36">
        <f>C6/B6-1</f>
        <v>-7.4156171284634809E-2</v>
      </c>
      <c r="D7" s="36">
        <f>D6/C6-1</f>
        <v>-3.7599303515072346E-2</v>
      </c>
      <c r="E7" s="31"/>
    </row>
    <row r="8" spans="1:6">
      <c r="A8" t="s">
        <v>69</v>
      </c>
      <c r="B8" s="34">
        <f>'02_RAW_DATA'!B9</f>
        <v>-179</v>
      </c>
      <c r="C8" s="34">
        <f>'02_RAW_DATA'!C9</f>
        <v>-200</v>
      </c>
      <c r="D8" s="34">
        <f>'02_RAW_DATA'!D9</f>
        <v>-243</v>
      </c>
    </row>
    <row r="9" spans="1:6">
      <c r="A9" t="s">
        <v>70</v>
      </c>
      <c r="B9" s="34">
        <f>'02_RAW_DATA'!B10</f>
        <v>-15208</v>
      </c>
      <c r="C9" s="34">
        <f>'02_RAW_DATA'!C10</f>
        <v>-13244</v>
      </c>
      <c r="D9" s="34">
        <f>'02_RAW_DATA'!D10</f>
        <v>-12502</v>
      </c>
    </row>
    <row r="10" spans="1:6">
      <c r="A10" t="s">
        <v>71</v>
      </c>
      <c r="B10" s="34">
        <f>'02_RAW_DATA'!B11</f>
        <v>12</v>
      </c>
      <c r="C10" s="34">
        <f>'02_RAW_DATA'!C11</f>
        <v>0</v>
      </c>
      <c r="D10" s="34">
        <f>'02_RAW_DATA'!D11</f>
        <v>489</v>
      </c>
    </row>
    <row r="11" spans="1:6">
      <c r="A11" s="4" t="s">
        <v>72</v>
      </c>
      <c r="B11" s="20">
        <f>SUM(B6,B8:B10)</f>
        <v>4475</v>
      </c>
      <c r="C11" s="20">
        <f t="shared" ref="C11:D11" si="0">SUM(C6,C8:C10)</f>
        <v>4934</v>
      </c>
      <c r="D11" s="20">
        <f t="shared" si="0"/>
        <v>5431</v>
      </c>
    </row>
    <row r="12" spans="1:6">
      <c r="A12" t="s">
        <v>181</v>
      </c>
      <c r="B12" s="36">
        <f>B11/B6</f>
        <v>0.22544080604534006</v>
      </c>
      <c r="C12" s="36">
        <f t="shared" ref="C12:D12" si="1">C11/C6</f>
        <v>0.26847317444770924</v>
      </c>
      <c r="D12" s="36">
        <f t="shared" si="1"/>
        <v>0.30706168372250808</v>
      </c>
    </row>
    <row r="13" spans="1:6">
      <c r="A13" t="s">
        <v>73</v>
      </c>
      <c r="B13" s="34">
        <f>'02_RAW_DATA'!B13</f>
        <v>248</v>
      </c>
      <c r="C13" s="34">
        <f>'02_RAW_DATA'!C13</f>
        <v>450</v>
      </c>
      <c r="D13" s="34">
        <f>'02_RAW_DATA'!D13</f>
        <v>380</v>
      </c>
    </row>
    <row r="14" spans="1:6">
      <c r="A14" t="s">
        <v>74</v>
      </c>
      <c r="B14" s="34">
        <f>'02_RAW_DATA'!B14</f>
        <v>-1712</v>
      </c>
      <c r="C14" s="34">
        <f>'02_RAW_DATA'!C14</f>
        <v>-1807</v>
      </c>
      <c r="D14" s="34">
        <f>'02_RAW_DATA'!D14</f>
        <v>-1705</v>
      </c>
    </row>
    <row r="15" spans="1:6">
      <c r="A15" t="s">
        <v>75</v>
      </c>
      <c r="B15" s="34">
        <f>'02_RAW_DATA'!B15</f>
        <v>37</v>
      </c>
      <c r="C15" s="34">
        <f>'02_RAW_DATA'!C15</f>
        <v>73</v>
      </c>
      <c r="D15" s="34">
        <f>'02_RAW_DATA'!D15</f>
        <v>76</v>
      </c>
    </row>
    <row r="16" spans="1:6">
      <c r="A16" s="4" t="s">
        <v>76</v>
      </c>
      <c r="B16" s="20">
        <f>SUM(B11, B13:B15)</f>
        <v>3048</v>
      </c>
      <c r="C16" s="20">
        <f t="shared" ref="C16:D16" si="2">SUM(C11, C13:C15)</f>
        <v>3650</v>
      </c>
      <c r="D16" s="20">
        <f t="shared" si="2"/>
        <v>4182</v>
      </c>
    </row>
    <row r="17" spans="1:4">
      <c r="A17" t="s">
        <v>182</v>
      </c>
      <c r="B17" s="36">
        <f>B16/B6</f>
        <v>0.15355163727959698</v>
      </c>
      <c r="C17" s="36">
        <f t="shared" ref="C17:D17" si="3">C16/C6</f>
        <v>0.19860703014473827</v>
      </c>
      <c r="D17" s="36">
        <f t="shared" si="3"/>
        <v>0.2364448464974275</v>
      </c>
    </row>
    <row r="18" spans="1:4">
      <c r="A18" t="s">
        <v>77</v>
      </c>
      <c r="B18" s="34">
        <f>'02_RAW_DATA'!B17</f>
        <v>-831</v>
      </c>
      <c r="C18" s="34">
        <f>'02_RAW_DATA'!C17</f>
        <v>-821</v>
      </c>
      <c r="D18" s="34">
        <f>'02_RAW_DATA'!D17</f>
        <v>-939</v>
      </c>
    </row>
    <row r="19" spans="1:4">
      <c r="A19" t="s">
        <v>183</v>
      </c>
      <c r="B19" s="36">
        <f>-B18/B16</f>
        <v>0.27263779527559057</v>
      </c>
      <c r="C19" s="36">
        <f t="shared" ref="C19:D19" si="4">-C18/C16</f>
        <v>0.22493150684931507</v>
      </c>
      <c r="D19" s="36">
        <f t="shared" si="4"/>
        <v>0.22453371592539456</v>
      </c>
    </row>
    <row r="20" spans="1:4">
      <c r="A20" s="4" t="s">
        <v>78</v>
      </c>
      <c r="B20" s="20">
        <f>SUM(B16,B18)</f>
        <v>2217</v>
      </c>
      <c r="C20" s="20">
        <f t="shared" ref="C20:D20" si="5">SUM(C16,C18)</f>
        <v>2829</v>
      </c>
      <c r="D20" s="20">
        <f t="shared" si="5"/>
        <v>3243</v>
      </c>
    </row>
    <row r="21" spans="1:4">
      <c r="A21" t="s">
        <v>79</v>
      </c>
      <c r="B21" s="34">
        <f>'02_RAW_DATA'!B19</f>
        <v>74</v>
      </c>
      <c r="C21" s="34">
        <f>'02_RAW_DATA'!C19</f>
        <v>76</v>
      </c>
      <c r="D21" s="34">
        <f>'02_RAW_DATA'!D19</f>
        <v>0</v>
      </c>
    </row>
    <row r="22" spans="1:4">
      <c r="A22" s="4" t="s">
        <v>80</v>
      </c>
      <c r="B22" s="20">
        <f>SUM(B20:B21)</f>
        <v>2291</v>
      </c>
      <c r="C22" s="20">
        <f t="shared" ref="C22:D22" si="6">SUM(C20:C21)</f>
        <v>2905</v>
      </c>
      <c r="D22" s="20">
        <f t="shared" si="6"/>
        <v>3243</v>
      </c>
    </row>
    <row r="23" spans="1:4">
      <c r="A23" t="s">
        <v>184</v>
      </c>
      <c r="B23" s="36">
        <f>B22/B6</f>
        <v>0.11541561712846347</v>
      </c>
      <c r="C23" s="36">
        <f t="shared" ref="C23:D23" si="7">C22/C6</f>
        <v>0.15806943084122321</v>
      </c>
      <c r="D23" s="36">
        <f t="shared" si="7"/>
        <v>0.18335500650195058</v>
      </c>
    </row>
    <row r="26" spans="1:4">
      <c r="A26" s="15" t="s">
        <v>185</v>
      </c>
      <c r="B26" s="15"/>
      <c r="C26" s="15"/>
      <c r="D26" s="15"/>
    </row>
    <row r="27" spans="1:4">
      <c r="A27" s="5" t="s">
        <v>112</v>
      </c>
    </row>
    <row r="28" spans="1:4">
      <c r="A28" s="4" t="s">
        <v>92</v>
      </c>
      <c r="B28" s="4"/>
    </row>
    <row r="29" spans="1:4">
      <c r="A29" t="s">
        <v>83</v>
      </c>
      <c r="B29" s="70">
        <f>'02_RAW_DATA'!B27</f>
        <v>9729</v>
      </c>
      <c r="C29" s="70">
        <f>'02_RAW_DATA'!C27</f>
        <v>9532</v>
      </c>
      <c r="D29" s="70">
        <f>'02_RAW_DATA'!D27</f>
        <v>9417</v>
      </c>
    </row>
    <row r="30" spans="1:4">
      <c r="A30" t="s">
        <v>84</v>
      </c>
      <c r="B30" s="70">
        <f>'02_RAW_DATA'!B28</f>
        <v>3431</v>
      </c>
      <c r="C30" s="70">
        <f>'02_RAW_DATA'!C28</f>
        <v>3564</v>
      </c>
      <c r="D30" s="70">
        <f>'02_RAW_DATA'!D28</f>
        <v>3879</v>
      </c>
    </row>
    <row r="31" spans="1:4">
      <c r="A31" t="s">
        <v>85</v>
      </c>
      <c r="B31" s="70">
        <f>'02_RAW_DATA'!B29</f>
        <v>68907</v>
      </c>
      <c r="C31" s="70">
        <f>'02_RAW_DATA'!C29</f>
        <v>74091</v>
      </c>
      <c r="D31" s="70">
        <f>'02_RAW_DATA'!D29</f>
        <v>81520</v>
      </c>
    </row>
    <row r="32" spans="1:4">
      <c r="A32" t="s">
        <v>86</v>
      </c>
      <c r="B32" s="70">
        <f>'02_RAW_DATA'!B30</f>
        <v>848</v>
      </c>
      <c r="C32" s="70">
        <f>'02_RAW_DATA'!C30</f>
        <v>959</v>
      </c>
      <c r="D32" s="70">
        <f>'02_RAW_DATA'!D30</f>
        <v>1384</v>
      </c>
    </row>
    <row r="33" spans="1:4">
      <c r="A33" t="s">
        <v>87</v>
      </c>
      <c r="B33" s="70">
        <f>'02_RAW_DATA'!B31</f>
        <v>2407</v>
      </c>
      <c r="C33" s="70">
        <f>'02_RAW_DATA'!C31</f>
        <v>2489</v>
      </c>
      <c r="D33" s="70">
        <f>'02_RAW_DATA'!D31</f>
        <v>2507</v>
      </c>
    </row>
    <row r="34" spans="1:4">
      <c r="A34" t="s">
        <v>88</v>
      </c>
      <c r="B34" s="70">
        <f>'02_RAW_DATA'!B32</f>
        <v>880</v>
      </c>
      <c r="C34" s="70">
        <f>'02_RAW_DATA'!C32</f>
        <v>798</v>
      </c>
      <c r="D34" s="70">
        <f>'02_RAW_DATA'!D32</f>
        <v>842</v>
      </c>
    </row>
    <row r="35" spans="1:4">
      <c r="A35" t="s">
        <v>89</v>
      </c>
      <c r="B35" s="70">
        <f>'02_RAW_DATA'!B33</f>
        <v>1420</v>
      </c>
      <c r="C35" s="70">
        <f>'02_RAW_DATA'!C33</f>
        <v>608</v>
      </c>
      <c r="D35" s="70">
        <f>'02_RAW_DATA'!D33</f>
        <v>624</v>
      </c>
    </row>
    <row r="36" spans="1:4">
      <c r="A36" t="s">
        <v>90</v>
      </c>
      <c r="B36" s="70">
        <f>'02_RAW_DATA'!B34</f>
        <v>324</v>
      </c>
      <c r="C36" s="70">
        <f>'02_RAW_DATA'!C34</f>
        <v>369</v>
      </c>
      <c r="D36" s="70">
        <f>'02_RAW_DATA'!D34</f>
        <v>623</v>
      </c>
    </row>
    <row r="37" spans="1:4">
      <c r="A37" s="4" t="s">
        <v>91</v>
      </c>
      <c r="B37" s="66">
        <f>SUM(B29:B36)</f>
        <v>87946</v>
      </c>
      <c r="C37" s="66">
        <f t="shared" ref="C37:D37" si="8">SUM(C29:C36)</f>
        <v>92410</v>
      </c>
      <c r="D37" s="66">
        <f t="shared" si="8"/>
        <v>100796</v>
      </c>
    </row>
    <row r="38" spans="1:4">
      <c r="A38" s="5" t="s">
        <v>93</v>
      </c>
      <c r="B38" s="66"/>
      <c r="C38" s="66"/>
      <c r="D38" s="66"/>
    </row>
    <row r="39" spans="1:4">
      <c r="A39" t="s">
        <v>94</v>
      </c>
      <c r="B39" s="71">
        <f>'02_RAW_DATA'!B37</f>
        <v>828</v>
      </c>
      <c r="C39" s="71">
        <f>'02_RAW_DATA'!C37</f>
        <v>557</v>
      </c>
      <c r="D39" s="71">
        <f>'02_RAW_DATA'!D37</f>
        <v>559</v>
      </c>
    </row>
    <row r="40" spans="1:4">
      <c r="A40" t="s">
        <v>95</v>
      </c>
      <c r="B40" s="71">
        <f>'02_RAW_DATA'!B38</f>
        <v>3415</v>
      </c>
      <c r="C40" s="71">
        <f>'02_RAW_DATA'!C38</f>
        <v>4092</v>
      </c>
      <c r="D40" s="71">
        <f>'02_RAW_DATA'!D38</f>
        <v>3867</v>
      </c>
    </row>
    <row r="41" spans="1:4">
      <c r="A41" t="s">
        <v>96</v>
      </c>
      <c r="B41" s="71">
        <f>'02_RAW_DATA'!B39</f>
        <v>11</v>
      </c>
      <c r="C41" s="71">
        <f>'02_RAW_DATA'!C39</f>
        <v>11</v>
      </c>
      <c r="D41" s="71">
        <f>'02_RAW_DATA'!D39</f>
        <v>16</v>
      </c>
    </row>
    <row r="42" spans="1:4">
      <c r="A42" t="s">
        <v>97</v>
      </c>
      <c r="B42" s="71">
        <f>'02_RAW_DATA'!B40</f>
        <v>3699</v>
      </c>
      <c r="C42" s="71">
        <f>'02_RAW_DATA'!C40</f>
        <v>5753</v>
      </c>
      <c r="D42" s="71">
        <f>'02_RAW_DATA'!D40</f>
        <v>2453</v>
      </c>
    </row>
    <row r="43" spans="1:4">
      <c r="A43" t="s">
        <v>98</v>
      </c>
      <c r="B43" s="71">
        <f>'02_RAW_DATA'!B41</f>
        <v>44</v>
      </c>
      <c r="C43" s="71">
        <f>'02_RAW_DATA'!C41</f>
        <v>113</v>
      </c>
      <c r="D43" s="71">
        <f>'02_RAW_DATA'!D41</f>
        <v>215</v>
      </c>
    </row>
    <row r="44" spans="1:4">
      <c r="A44" t="s">
        <v>99</v>
      </c>
      <c r="B44" s="71">
        <f>'02_RAW_DATA'!B42</f>
        <v>559</v>
      </c>
      <c r="C44" s="71">
        <f>'02_RAW_DATA'!C42</f>
        <v>1178</v>
      </c>
      <c r="D44" s="71">
        <f>'02_RAW_DATA'!D42</f>
        <v>375</v>
      </c>
    </row>
    <row r="45" spans="1:4">
      <c r="A45" t="s">
        <v>100</v>
      </c>
      <c r="B45" s="71">
        <f>'02_RAW_DATA'!B43</f>
        <v>1823</v>
      </c>
      <c r="C45" s="71">
        <f>'02_RAW_DATA'!C43</f>
        <v>2628</v>
      </c>
      <c r="D45" s="71">
        <f>'02_RAW_DATA'!D43</f>
        <v>0</v>
      </c>
    </row>
    <row r="46" spans="1:4">
      <c r="A46" s="4" t="s">
        <v>101</v>
      </c>
      <c r="B46" s="66">
        <f>SUM(B39:B45)</f>
        <v>10379</v>
      </c>
      <c r="C46" s="66">
        <f t="shared" ref="C46:D46" si="9">SUM(C39:C45)</f>
        <v>14332</v>
      </c>
      <c r="D46" s="66">
        <f t="shared" si="9"/>
        <v>7485</v>
      </c>
    </row>
    <row r="47" spans="1:4">
      <c r="A47" s="4" t="s">
        <v>102</v>
      </c>
      <c r="B47" s="72">
        <f>B37+B46</f>
        <v>98325</v>
      </c>
      <c r="C47" s="72">
        <f t="shared" ref="C47:D47" si="10">C37+C46</f>
        <v>106742</v>
      </c>
      <c r="D47" s="72">
        <f t="shared" si="10"/>
        <v>108281</v>
      </c>
    </row>
    <row r="48" spans="1:4">
      <c r="B48" s="66"/>
      <c r="C48" s="66"/>
      <c r="D48" s="66"/>
    </row>
    <row r="49" spans="1:4">
      <c r="A49" t="s">
        <v>113</v>
      </c>
      <c r="B49" s="66"/>
      <c r="C49" s="66"/>
      <c r="D49" s="66"/>
    </row>
    <row r="50" spans="1:4">
      <c r="A50" s="5" t="s">
        <v>114</v>
      </c>
      <c r="B50" s="66"/>
      <c r="C50" s="66"/>
      <c r="D50" s="66"/>
    </row>
    <row r="51" spans="1:4">
      <c r="A51" t="s">
        <v>104</v>
      </c>
      <c r="B51" s="70">
        <f>'02_RAW_DATA'!B49</f>
        <v>-4859</v>
      </c>
      <c r="C51" s="70">
        <f>'02_RAW_DATA'!C49</f>
        <v>-4662</v>
      </c>
      <c r="D51" s="70">
        <f>'02_RAW_DATA'!D49</f>
        <v>-3900</v>
      </c>
    </row>
    <row r="52" spans="1:4">
      <c r="A52" t="s">
        <v>105</v>
      </c>
      <c r="B52" s="70">
        <f>'02_RAW_DATA'!B50</f>
        <v>-335</v>
      </c>
      <c r="C52" s="70">
        <f>'02_RAW_DATA'!C50</f>
        <v>-381</v>
      </c>
      <c r="D52" s="70">
        <f>'02_RAW_DATA'!D50</f>
        <v>-268</v>
      </c>
    </row>
    <row r="53" spans="1:4">
      <c r="A53" t="s">
        <v>106</v>
      </c>
      <c r="B53" s="70">
        <f>'02_RAW_DATA'!B51</f>
        <v>-4076</v>
      </c>
      <c r="C53" s="70">
        <f>'02_RAW_DATA'!C51</f>
        <v>-4472</v>
      </c>
      <c r="D53" s="70">
        <f>'02_RAW_DATA'!D51</f>
        <v>-5049</v>
      </c>
    </row>
    <row r="54" spans="1:4">
      <c r="A54" t="s">
        <v>107</v>
      </c>
      <c r="B54" s="70">
        <f>'02_RAW_DATA'!B52</f>
        <v>-127</v>
      </c>
      <c r="C54" s="70">
        <f>'02_RAW_DATA'!C52</f>
        <v>-96</v>
      </c>
      <c r="D54" s="70">
        <f>'02_RAW_DATA'!D52</f>
        <v>-110</v>
      </c>
    </row>
    <row r="55" spans="1:4">
      <c r="A55" t="s">
        <v>108</v>
      </c>
      <c r="B55" s="70">
        <f>'02_RAW_DATA'!B53</f>
        <v>-220</v>
      </c>
      <c r="C55" s="70">
        <f>'02_RAW_DATA'!C53</f>
        <v>-219</v>
      </c>
      <c r="D55" s="70">
        <f>'02_RAW_DATA'!D53</f>
        <v>-45</v>
      </c>
    </row>
    <row r="56" spans="1:4">
      <c r="A56" t="s">
        <v>109</v>
      </c>
      <c r="B56" s="70">
        <f>'02_RAW_DATA'!B54</f>
        <v>-298</v>
      </c>
      <c r="C56" s="70">
        <f>'02_RAW_DATA'!C54</f>
        <v>-357</v>
      </c>
      <c r="D56" s="70">
        <f>'02_RAW_DATA'!D54</f>
        <v>-425</v>
      </c>
    </row>
    <row r="57" spans="1:4">
      <c r="A57" t="s">
        <v>110</v>
      </c>
      <c r="B57" s="70">
        <f>'02_RAW_DATA'!B55</f>
        <v>-1474</v>
      </c>
      <c r="C57" s="70">
        <f>'02_RAW_DATA'!C55</f>
        <v>-434</v>
      </c>
      <c r="D57" s="70">
        <f>'02_RAW_DATA'!D55</f>
        <v>0</v>
      </c>
    </row>
    <row r="58" spans="1:4">
      <c r="A58" s="4" t="s">
        <v>111</v>
      </c>
      <c r="B58" s="66">
        <f>SUM(B51:B57)</f>
        <v>-11389</v>
      </c>
      <c r="C58" s="66">
        <f t="shared" ref="C58:D58" si="11">SUM(C51:C57)</f>
        <v>-10621</v>
      </c>
      <c r="D58" s="66">
        <f t="shared" si="11"/>
        <v>-9797</v>
      </c>
    </row>
    <row r="59" spans="1:4">
      <c r="A59" s="5" t="s">
        <v>115</v>
      </c>
      <c r="B59" s="66"/>
      <c r="C59" s="66"/>
      <c r="D59" s="66"/>
    </row>
    <row r="60" spans="1:4">
      <c r="A60" t="s">
        <v>116</v>
      </c>
      <c r="B60" s="70">
        <f>'02_RAW_DATA'!B58</f>
        <v>-42213</v>
      </c>
      <c r="C60" s="70">
        <f>'02_RAW_DATA'!C58</f>
        <v>-42877</v>
      </c>
      <c r="D60" s="70">
        <f>'02_RAW_DATA'!D58</f>
        <v>-42855</v>
      </c>
    </row>
    <row r="61" spans="1:4">
      <c r="A61" t="s">
        <v>117</v>
      </c>
      <c r="B61" s="70">
        <f>'02_RAW_DATA'!B59</f>
        <v>-909</v>
      </c>
      <c r="C61" s="70">
        <f>'02_RAW_DATA'!C59</f>
        <v>-821</v>
      </c>
      <c r="D61" s="70">
        <f>'02_RAW_DATA'!D59</f>
        <v>-750</v>
      </c>
    </row>
    <row r="62" spans="1:4">
      <c r="A62" t="s">
        <v>118</v>
      </c>
      <c r="B62" s="70">
        <f>'02_RAW_DATA'!B60</f>
        <v>-880</v>
      </c>
      <c r="C62" s="70">
        <f>'02_RAW_DATA'!C60</f>
        <v>-876</v>
      </c>
      <c r="D62" s="70">
        <f>'02_RAW_DATA'!D60</f>
        <v>-1114</v>
      </c>
    </row>
    <row r="63" spans="1:4">
      <c r="A63" t="s">
        <v>119</v>
      </c>
      <c r="B63" s="70">
        <f>'02_RAW_DATA'!B61</f>
        <v>-2119</v>
      </c>
      <c r="C63" s="70">
        <f>'02_RAW_DATA'!C61</f>
        <v>-2418</v>
      </c>
      <c r="D63" s="70">
        <f>'02_RAW_DATA'!D61</f>
        <v>-2699</v>
      </c>
    </row>
    <row r="64" spans="1:4">
      <c r="A64" t="s">
        <v>120</v>
      </c>
      <c r="B64" s="70">
        <f>'02_RAW_DATA'!B62</f>
        <v>-7519</v>
      </c>
      <c r="C64" s="70">
        <f>'02_RAW_DATA'!C62</f>
        <v>-8038</v>
      </c>
      <c r="D64" s="70">
        <f>'02_RAW_DATA'!D62</f>
        <v>-9040</v>
      </c>
    </row>
    <row r="65" spans="1:4">
      <c r="A65" t="s">
        <v>121</v>
      </c>
      <c r="B65" s="70">
        <f>'02_RAW_DATA'!B63</f>
        <v>-593</v>
      </c>
      <c r="C65" s="70">
        <f>'02_RAW_DATA'!C63</f>
        <v>-573</v>
      </c>
      <c r="D65" s="70">
        <f>'02_RAW_DATA'!D63</f>
        <v>-360</v>
      </c>
    </row>
    <row r="66" spans="1:4">
      <c r="A66" t="s">
        <v>122</v>
      </c>
      <c r="B66" s="70">
        <f>'02_RAW_DATA'!B64</f>
        <v>-2811</v>
      </c>
      <c r="C66" s="70">
        <f>'02_RAW_DATA'!C64</f>
        <v>-2692</v>
      </c>
      <c r="D66" s="70">
        <f>'02_RAW_DATA'!D64</f>
        <v>-2336</v>
      </c>
    </row>
    <row r="67" spans="1:4">
      <c r="A67" s="4" t="s">
        <v>123</v>
      </c>
      <c r="B67" s="66">
        <f>SUM(B60:B66)</f>
        <v>-57044</v>
      </c>
      <c r="C67" s="66">
        <f t="shared" ref="C67:D67" si="12">SUM(C60:C66)</f>
        <v>-58295</v>
      </c>
      <c r="D67" s="66">
        <f t="shared" si="12"/>
        <v>-59154</v>
      </c>
    </row>
    <row r="68" spans="1:4">
      <c r="A68" s="4" t="s">
        <v>124</v>
      </c>
      <c r="B68" s="72">
        <f>SUM(B58,B67)</f>
        <v>-68433</v>
      </c>
      <c r="C68" s="72">
        <f t="shared" ref="C68:D68" si="13">SUM(C58,C67)</f>
        <v>-68916</v>
      </c>
      <c r="D68" s="72">
        <f t="shared" si="13"/>
        <v>-68951</v>
      </c>
    </row>
    <row r="69" spans="1:4">
      <c r="A69" s="4"/>
      <c r="B69" s="66"/>
      <c r="C69" s="66"/>
      <c r="D69" s="66"/>
    </row>
    <row r="70" spans="1:4">
      <c r="A70" s="4" t="s">
        <v>125</v>
      </c>
      <c r="B70" s="72">
        <f>B47+B68</f>
        <v>29892</v>
      </c>
      <c r="C70" s="72">
        <f t="shared" ref="C70:D70" si="14">C47+C68</f>
        <v>37826</v>
      </c>
      <c r="D70" s="72">
        <f t="shared" si="14"/>
        <v>39330</v>
      </c>
    </row>
    <row r="71" spans="1:4">
      <c r="B71" s="66"/>
      <c r="C71" s="66"/>
      <c r="D71" s="66"/>
    </row>
    <row r="72" spans="1:4">
      <c r="A72" s="4" t="s">
        <v>126</v>
      </c>
      <c r="B72" s="66"/>
      <c r="C72" s="66"/>
      <c r="D72" s="66"/>
    </row>
    <row r="73" spans="1:4">
      <c r="A73" t="s">
        <v>127</v>
      </c>
      <c r="B73" s="71">
        <f>'02_RAW_DATA'!B71</f>
        <v>493</v>
      </c>
      <c r="C73" s="71">
        <f>'02_RAW_DATA'!C71</f>
        <v>638</v>
      </c>
      <c r="D73" s="71">
        <f>'02_RAW_DATA'!D71</f>
        <v>647</v>
      </c>
    </row>
    <row r="74" spans="1:4">
      <c r="A74" t="s">
        <v>128</v>
      </c>
      <c r="B74" s="71">
        <f>'02_RAW_DATA'!B72</f>
        <v>1298</v>
      </c>
      <c r="C74" s="71">
        <f>'02_RAW_DATA'!C72</f>
        <v>1292</v>
      </c>
      <c r="D74" s="71">
        <f>'02_RAW_DATA'!D72</f>
        <v>1285</v>
      </c>
    </row>
    <row r="75" spans="1:4">
      <c r="A75" t="s">
        <v>129</v>
      </c>
      <c r="B75" s="71">
        <f>'02_RAW_DATA'!B73</f>
        <v>32066</v>
      </c>
      <c r="C75" s="71">
        <f>'02_RAW_DATA'!C73</f>
        <v>40106</v>
      </c>
      <c r="D75" s="71">
        <f>'02_RAW_DATA'!D73</f>
        <v>41909</v>
      </c>
    </row>
    <row r="76" spans="1:4">
      <c r="A76" t="s">
        <v>130</v>
      </c>
      <c r="B76" s="71">
        <f>'02_RAW_DATA'!B74</f>
        <v>-3990</v>
      </c>
      <c r="C76" s="71">
        <f>'02_RAW_DATA'!C74</f>
        <v>-4233</v>
      </c>
      <c r="D76" s="71">
        <f>'02_RAW_DATA'!D74</f>
        <v>-4542</v>
      </c>
    </row>
    <row r="77" spans="1:4">
      <c r="A77" t="s">
        <v>186</v>
      </c>
      <c r="B77" s="70">
        <f>'02_RAW_DATA'!B76</f>
        <v>25</v>
      </c>
      <c r="C77" s="70">
        <f>'02_RAW_DATA'!C76</f>
        <v>23</v>
      </c>
      <c r="D77" s="70">
        <f>'02_RAW_DATA'!D76</f>
        <v>31</v>
      </c>
    </row>
    <row r="78" spans="1:4">
      <c r="A78" s="4" t="s">
        <v>131</v>
      </c>
      <c r="B78" s="72">
        <f>SUM(B73:B76)</f>
        <v>29867</v>
      </c>
      <c r="C78" s="72">
        <f>SUM(C73:C76)</f>
        <v>37803</v>
      </c>
      <c r="D78" s="72">
        <f>SUM(D73:D76)</f>
        <v>39299</v>
      </c>
    </row>
    <row r="79" spans="1:4">
      <c r="A79" s="4" t="s">
        <v>133</v>
      </c>
      <c r="B79" s="72">
        <f>SUM(B78,B77)</f>
        <v>29892</v>
      </c>
      <c r="C79" s="72">
        <f t="shared" ref="C79:D79" si="15">SUM(C78,C77)</f>
        <v>37826</v>
      </c>
      <c r="D79" s="72">
        <f t="shared" si="15"/>
        <v>39330</v>
      </c>
    </row>
    <row r="80" spans="1:4">
      <c r="A80" s="4"/>
      <c r="B80" s="66"/>
      <c r="C80" s="66"/>
      <c r="D80" s="66"/>
    </row>
    <row r="81" spans="1:4">
      <c r="A81" s="4" t="s">
        <v>187</v>
      </c>
      <c r="B81" s="66">
        <f>B47+B68-B79</f>
        <v>0</v>
      </c>
      <c r="C81" s="66">
        <f t="shared" ref="C81:D81" si="16">C47+C68-C79</f>
        <v>0</v>
      </c>
      <c r="D81" s="66">
        <f t="shared" si="16"/>
        <v>0</v>
      </c>
    </row>
    <row r="82" spans="1:4">
      <c r="B82" s="66"/>
      <c r="C82" s="66"/>
      <c r="D82" s="66"/>
    </row>
    <row r="84" spans="1:4">
      <c r="A84" s="39" t="s">
        <v>188</v>
      </c>
      <c r="B84" s="32"/>
      <c r="C84" s="32"/>
      <c r="D84" s="32"/>
    </row>
    <row r="85" spans="1:4">
      <c r="B85" s="5" t="s">
        <v>65</v>
      </c>
      <c r="C85" s="5" t="s">
        <v>66</v>
      </c>
      <c r="D85" s="5" t="s">
        <v>67</v>
      </c>
    </row>
    <row r="86" spans="1:4">
      <c r="A86" s="5" t="s">
        <v>136</v>
      </c>
    </row>
    <row r="87" spans="1:4">
      <c r="A87" t="s">
        <v>72</v>
      </c>
      <c r="B87" s="20">
        <f>B11</f>
        <v>4475</v>
      </c>
      <c r="C87" s="20">
        <f>C11</f>
        <v>4934</v>
      </c>
      <c r="D87" s="20">
        <f>D11</f>
        <v>5431</v>
      </c>
    </row>
    <row r="88" spans="1:4">
      <c r="A88" t="s">
        <v>138</v>
      </c>
      <c r="B88" s="34">
        <f>'02_RAW_DATA'!B84</f>
        <v>987</v>
      </c>
      <c r="C88" s="34">
        <f>'02_RAW_DATA'!C84</f>
        <v>-169</v>
      </c>
      <c r="D88" s="34">
        <f>'02_RAW_DATA'!D84</f>
        <v>-387</v>
      </c>
    </row>
    <row r="89" spans="1:4">
      <c r="A89" t="s">
        <v>139</v>
      </c>
      <c r="B89" s="34">
        <f>'02_RAW_DATA'!B85</f>
        <v>-16</v>
      </c>
      <c r="C89" s="34">
        <f>'02_RAW_DATA'!C85</f>
        <v>66</v>
      </c>
      <c r="D89" s="34">
        <f>'02_RAW_DATA'!D85</f>
        <v>-31</v>
      </c>
    </row>
    <row r="90" spans="1:4">
      <c r="A90" t="s">
        <v>140</v>
      </c>
      <c r="B90" s="34">
        <f>'02_RAW_DATA'!B86</f>
        <v>2061</v>
      </c>
      <c r="C90" s="34">
        <f>'02_RAW_DATA'!C86</f>
        <v>2175</v>
      </c>
      <c r="D90" s="34">
        <f>'02_RAW_DATA'!D86</f>
        <v>2247</v>
      </c>
    </row>
    <row r="91" spans="1:4">
      <c r="A91" t="s">
        <v>141</v>
      </c>
      <c r="B91" s="34">
        <f>'02_RAW_DATA'!B87</f>
        <v>37</v>
      </c>
      <c r="C91" s="34">
        <f>'02_RAW_DATA'!C87</f>
        <v>37</v>
      </c>
      <c r="D91" s="34">
        <f>'02_RAW_DATA'!D87</f>
        <v>45</v>
      </c>
    </row>
    <row r="92" spans="1:4">
      <c r="A92" t="s">
        <v>142</v>
      </c>
      <c r="B92" s="34">
        <f>'02_RAW_DATA'!B88</f>
        <v>-49</v>
      </c>
      <c r="C92" s="34">
        <f>'02_RAW_DATA'!C88</f>
        <v>104</v>
      </c>
      <c r="D92" s="34">
        <f>'02_RAW_DATA'!D88</f>
        <v>759</v>
      </c>
    </row>
    <row r="93" spans="1:4">
      <c r="A93" t="s">
        <v>143</v>
      </c>
      <c r="B93" s="34">
        <f>'02_RAW_DATA'!B89</f>
        <v>-154</v>
      </c>
      <c r="C93" s="34">
        <f>'02_RAW_DATA'!C89</f>
        <v>10</v>
      </c>
      <c r="D93" s="34">
        <f>'02_RAW_DATA'!D89</f>
        <v>-127</v>
      </c>
    </row>
    <row r="94" spans="1:4">
      <c r="A94" t="s">
        <v>144</v>
      </c>
      <c r="B94" s="34">
        <f>'02_RAW_DATA'!B90</f>
        <v>31</v>
      </c>
      <c r="C94" s="34">
        <f>'02_RAW_DATA'!C90</f>
        <v>-90</v>
      </c>
      <c r="D94" s="34">
        <f>'02_RAW_DATA'!D90</f>
        <v>-31</v>
      </c>
    </row>
    <row r="95" spans="1:4">
      <c r="A95" t="s">
        <v>145</v>
      </c>
      <c r="B95" s="34">
        <f>'02_RAW_DATA'!B91</f>
        <v>-91</v>
      </c>
      <c r="C95" s="34">
        <f>'02_RAW_DATA'!C91</f>
        <v>-76</v>
      </c>
      <c r="D95" s="34">
        <f>'02_RAW_DATA'!D91</f>
        <v>-45</v>
      </c>
    </row>
    <row r="96" spans="1:4">
      <c r="A96" s="4" t="s">
        <v>146</v>
      </c>
      <c r="B96" s="25">
        <f>SUM(B87:B95)</f>
        <v>7281</v>
      </c>
      <c r="C96" s="25">
        <f t="shared" ref="C96:D96" si="17">SUM(C87:C95)</f>
        <v>6991</v>
      </c>
      <c r="D96" s="25">
        <f t="shared" si="17"/>
        <v>7861</v>
      </c>
    </row>
    <row r="97" spans="1:4">
      <c r="A97" t="s">
        <v>147</v>
      </c>
      <c r="B97" s="20">
        <f>'02_RAW_DATA'!B93</f>
        <v>-342</v>
      </c>
      <c r="C97" s="20">
        <f>'02_RAW_DATA'!C93</f>
        <v>-183</v>
      </c>
      <c r="D97" s="20">
        <f>'02_RAW_DATA'!D93</f>
        <v>-32</v>
      </c>
    </row>
    <row r="98" spans="1:4">
      <c r="A98" s="4" t="s">
        <v>148</v>
      </c>
      <c r="B98" s="25">
        <f>SUM(B96:B97)</f>
        <v>6939</v>
      </c>
      <c r="C98" s="25">
        <f t="shared" ref="C98:D98" si="18">SUM(C96:C97)</f>
        <v>6808</v>
      </c>
      <c r="D98" s="25">
        <f t="shared" si="18"/>
        <v>7829</v>
      </c>
    </row>
    <row r="99" spans="1:4">
      <c r="A99" s="4"/>
    </row>
    <row r="100" spans="1:4">
      <c r="A100" s="5" t="s">
        <v>149</v>
      </c>
    </row>
    <row r="101" spans="1:4">
      <c r="A101" t="s">
        <v>150</v>
      </c>
      <c r="B101" s="34">
        <f>'02_RAW_DATA'!B97</f>
        <v>-549</v>
      </c>
      <c r="C101" s="34">
        <f>'02_RAW_DATA'!C97</f>
        <v>-526</v>
      </c>
      <c r="D101" s="34">
        <f>'02_RAW_DATA'!D97</f>
        <v>-586</v>
      </c>
    </row>
    <row r="102" spans="1:4">
      <c r="A102" t="s">
        <v>151</v>
      </c>
      <c r="B102" s="34">
        <f>'02_RAW_DATA'!B98</f>
        <v>-6904</v>
      </c>
      <c r="C102" s="34">
        <f>'02_RAW_DATA'!C98</f>
        <v>-8780</v>
      </c>
      <c r="D102" s="34">
        <f>'02_RAW_DATA'!D98</f>
        <v>-9989</v>
      </c>
    </row>
    <row r="103" spans="1:4">
      <c r="A103" t="s">
        <v>152</v>
      </c>
      <c r="B103" s="34">
        <f>'02_RAW_DATA'!B99</f>
        <v>52</v>
      </c>
      <c r="C103" s="34">
        <f>'02_RAW_DATA'!C99</f>
        <v>26</v>
      </c>
      <c r="D103" s="34">
        <f>'02_RAW_DATA'!D99</f>
        <v>68</v>
      </c>
    </row>
    <row r="104" spans="1:4">
      <c r="A104" t="s">
        <v>89</v>
      </c>
      <c r="B104" s="34">
        <f>'02_RAW_DATA'!B100</f>
        <v>-332</v>
      </c>
      <c r="C104" s="34">
        <f>'02_RAW_DATA'!C100</f>
        <v>-396</v>
      </c>
      <c r="D104" s="34">
        <f>'02_RAW_DATA'!D100</f>
        <v>-94</v>
      </c>
    </row>
    <row r="105" spans="1:4">
      <c r="A105" t="s">
        <v>153</v>
      </c>
      <c r="B105" s="34">
        <f>'02_RAW_DATA'!B101</f>
        <v>176</v>
      </c>
      <c r="C105" s="34">
        <f>'02_RAW_DATA'!C101</f>
        <v>126</v>
      </c>
      <c r="D105" s="34">
        <f>'02_RAW_DATA'!D101</f>
        <v>105</v>
      </c>
    </row>
    <row r="106" spans="1:4">
      <c r="A106" t="s">
        <v>154</v>
      </c>
      <c r="B106" s="34">
        <f>'02_RAW_DATA'!B102</f>
        <v>0</v>
      </c>
      <c r="C106" s="34">
        <f>'02_RAW_DATA'!C102</f>
        <v>577</v>
      </c>
      <c r="D106" s="34">
        <f>'02_RAW_DATA'!D102</f>
        <v>0</v>
      </c>
    </row>
    <row r="107" spans="1:4">
      <c r="A107" t="s">
        <v>155</v>
      </c>
      <c r="B107" s="34">
        <f>'02_RAW_DATA'!B103</f>
        <v>681</v>
      </c>
      <c r="C107" s="34">
        <f>'02_RAW_DATA'!C103</f>
        <v>686</v>
      </c>
      <c r="D107" s="34">
        <f>'02_RAW_DATA'!D103</f>
        <v>0</v>
      </c>
    </row>
    <row r="108" spans="1:4">
      <c r="A108" t="s">
        <v>156</v>
      </c>
      <c r="B108" s="34">
        <f>'02_RAW_DATA'!B104</f>
        <v>0</v>
      </c>
      <c r="C108" s="34">
        <f>'02_RAW_DATA'!C104</f>
        <v>0</v>
      </c>
      <c r="D108" s="34">
        <f>'02_RAW_DATA'!D104</f>
        <v>1473</v>
      </c>
    </row>
    <row r="109" spans="1:4">
      <c r="A109" t="s">
        <v>157</v>
      </c>
      <c r="B109" s="34">
        <f>'02_RAW_DATA'!B105</f>
        <v>0</v>
      </c>
      <c r="C109" s="34">
        <f>'02_RAW_DATA'!C105</f>
        <v>0</v>
      </c>
      <c r="D109" s="34">
        <f>'02_RAW_DATA'!D105</f>
        <v>1336</v>
      </c>
    </row>
    <row r="110" spans="1:4" ht="17">
      <c r="A110" t="s">
        <v>190</v>
      </c>
      <c r="B110" s="42">
        <f>'02_RAW_DATA'!B106</f>
        <v>102</v>
      </c>
      <c r="C110" s="42">
        <f>'02_RAW_DATA'!C106</f>
        <v>85</v>
      </c>
      <c r="D110" s="42">
        <f>'02_RAW_DATA'!D106</f>
        <v>67</v>
      </c>
    </row>
    <row r="111" spans="1:4" ht="17">
      <c r="A111" t="s">
        <v>191</v>
      </c>
      <c r="B111" s="42">
        <f>'02_RAW_DATA'!B107</f>
        <v>-81</v>
      </c>
      <c r="C111" s="42">
        <f>'02_RAW_DATA'!C107</f>
        <v>-122</v>
      </c>
      <c r="D111" s="42">
        <f>'02_RAW_DATA'!D107</f>
        <v>-67</v>
      </c>
    </row>
    <row r="112" spans="1:4" ht="17">
      <c r="A112" t="s">
        <v>192</v>
      </c>
      <c r="B112" s="42">
        <f>'02_RAW_DATA'!B108</f>
        <v>-19</v>
      </c>
      <c r="C112" s="42">
        <f>'02_RAW_DATA'!C108</f>
        <v>0</v>
      </c>
      <c r="D112" s="42">
        <f>'02_RAW_DATA'!D108</f>
        <v>0</v>
      </c>
    </row>
    <row r="113" spans="1:4">
      <c r="A113" t="s">
        <v>158</v>
      </c>
      <c r="B113" s="34">
        <f>'02_RAW_DATA'!B109</f>
        <v>-1141</v>
      </c>
      <c r="C113" s="34">
        <f>'02_RAW_DATA'!C109</f>
        <v>-2606</v>
      </c>
      <c r="D113" s="34">
        <f>'02_RAW_DATA'!D109</f>
        <v>3285</v>
      </c>
    </row>
    <row r="114" spans="1:4">
      <c r="A114" t="s">
        <v>159</v>
      </c>
      <c r="B114" s="34">
        <f>'02_RAW_DATA'!B110</f>
        <v>148</v>
      </c>
      <c r="C114" s="34">
        <f>'02_RAW_DATA'!C110</f>
        <v>332</v>
      </c>
      <c r="D114" s="34">
        <f>'02_RAW_DATA'!D110</f>
        <v>231</v>
      </c>
    </row>
    <row r="115" spans="1:4">
      <c r="A115" t="s">
        <v>193</v>
      </c>
      <c r="B115" s="34">
        <f>'02_RAW_DATA'!B111</f>
        <v>123</v>
      </c>
      <c r="C115" s="34">
        <f>'02_RAW_DATA'!C111</f>
        <v>11</v>
      </c>
      <c r="D115" s="34">
        <f>'02_RAW_DATA'!D111</f>
        <v>20</v>
      </c>
    </row>
    <row r="116" spans="1:4">
      <c r="A116" t="s">
        <v>194</v>
      </c>
      <c r="B116" s="34">
        <f>'02_RAW_DATA'!B112</f>
        <v>0</v>
      </c>
      <c r="C116" s="34">
        <f>'02_RAW_DATA'!C112</f>
        <v>-6</v>
      </c>
      <c r="D116" s="34">
        <f>'02_RAW_DATA'!D112</f>
        <v>-6</v>
      </c>
    </row>
    <row r="117" spans="1:4">
      <c r="A117" t="s">
        <v>145</v>
      </c>
      <c r="B117" s="34">
        <f>'02_RAW_DATA'!B113</f>
        <v>143</v>
      </c>
      <c r="C117" s="34">
        <f>'02_RAW_DATA'!C113</f>
        <v>0</v>
      </c>
      <c r="D117" s="34">
        <f>'02_RAW_DATA'!D113</f>
        <v>0</v>
      </c>
    </row>
    <row r="118" spans="1:4">
      <c r="A118" s="4" t="s">
        <v>189</v>
      </c>
      <c r="B118" s="25">
        <f>SUM(B101:B117)</f>
        <v>-7601</v>
      </c>
      <c r="C118" s="25">
        <f>SUM(C101:C117)</f>
        <v>-10593</v>
      </c>
      <c r="D118" s="25">
        <f>SUM(D101:D117)</f>
        <v>-4157</v>
      </c>
    </row>
    <row r="120" spans="1:4">
      <c r="A120" s="5" t="s">
        <v>161</v>
      </c>
    </row>
    <row r="121" spans="1:4">
      <c r="A121" t="s">
        <v>162</v>
      </c>
      <c r="B121" s="38">
        <f>'02_RAW_DATA'!B117</f>
        <v>0</v>
      </c>
      <c r="C121" s="38">
        <f>'02_RAW_DATA'!C117</f>
        <v>7001</v>
      </c>
      <c r="D121" s="38">
        <f>'02_RAW_DATA'!D117</f>
        <v>0</v>
      </c>
    </row>
    <row r="122" spans="1:4">
      <c r="A122" t="s">
        <v>163</v>
      </c>
      <c r="B122" s="38">
        <f>'02_RAW_DATA'!B118</f>
        <v>0</v>
      </c>
      <c r="C122" s="38">
        <f>'02_RAW_DATA'!C118</f>
        <v>-162</v>
      </c>
      <c r="D122" s="38">
        <f>'02_RAW_DATA'!D118</f>
        <v>0</v>
      </c>
    </row>
    <row r="123" spans="1:4">
      <c r="A123" t="s">
        <v>164</v>
      </c>
      <c r="B123" s="38">
        <f>'02_RAW_DATA'!B119</f>
        <v>5563</v>
      </c>
      <c r="C123" s="38">
        <f>'02_RAW_DATA'!C119</f>
        <v>3237</v>
      </c>
      <c r="D123" s="38">
        <f>'02_RAW_DATA'!D119</f>
        <v>4172</v>
      </c>
    </row>
    <row r="124" spans="1:4">
      <c r="A124" t="s">
        <v>165</v>
      </c>
      <c r="B124" s="38">
        <f>'02_RAW_DATA'!B120</f>
        <v>-1701</v>
      </c>
      <c r="C124" s="38">
        <f>'02_RAW_DATA'!C120</f>
        <v>-2861</v>
      </c>
      <c r="D124" s="38">
        <f>'02_RAW_DATA'!D120</f>
        <v>-2961</v>
      </c>
    </row>
    <row r="125" spans="1:4">
      <c r="A125" t="s">
        <v>166</v>
      </c>
      <c r="B125" s="38">
        <f>'02_RAW_DATA'!B121</f>
        <v>-118</v>
      </c>
      <c r="C125" s="38">
        <f>'02_RAW_DATA'!C121</f>
        <v>-130</v>
      </c>
      <c r="D125" s="38">
        <f>'02_RAW_DATA'!D121</f>
        <v>-145</v>
      </c>
    </row>
    <row r="126" spans="1:4">
      <c r="A126" t="s">
        <v>167</v>
      </c>
      <c r="B126" s="38">
        <f>'02_RAW_DATA'!B126</f>
        <v>544</v>
      </c>
      <c r="C126" s="38">
        <f>'02_RAW_DATA'!C126</f>
        <v>925</v>
      </c>
      <c r="D126" s="38">
        <f>'02_RAW_DATA'!D126</f>
        <v>-2225</v>
      </c>
    </row>
    <row r="127" spans="1:4">
      <c r="A127" t="s">
        <v>195</v>
      </c>
      <c r="B127" s="34">
        <f>'02_RAW_DATA'!B122</f>
        <v>20</v>
      </c>
      <c r="C127" s="34">
        <f>'02_RAW_DATA'!C122</f>
        <v>18</v>
      </c>
      <c r="D127" s="34">
        <f>'02_RAW_DATA'!D122</f>
        <v>40</v>
      </c>
    </row>
    <row r="128" spans="1:4">
      <c r="A128" t="s">
        <v>196</v>
      </c>
      <c r="B128" s="34">
        <f>'02_RAW_DATA'!B123</f>
        <v>-4</v>
      </c>
      <c r="C128" s="34">
        <f>'02_RAW_DATA'!C123</f>
        <v>-7</v>
      </c>
      <c r="D128" s="34">
        <f>'02_RAW_DATA'!D123</f>
        <v>-1</v>
      </c>
    </row>
    <row r="129" spans="1:4">
      <c r="A129" t="s">
        <v>193</v>
      </c>
      <c r="B129" s="34">
        <f>'02_RAW_DATA'!B124</f>
        <v>86</v>
      </c>
      <c r="C129" s="34">
        <f>'02_RAW_DATA'!C124</f>
        <v>62</v>
      </c>
      <c r="D129" s="34">
        <f>'02_RAW_DATA'!D124</f>
        <v>93</v>
      </c>
    </row>
    <row r="130" spans="1:4">
      <c r="A130" t="s">
        <v>194</v>
      </c>
      <c r="B130" s="34">
        <f>'02_RAW_DATA'!B125</f>
        <v>-58</v>
      </c>
      <c r="C130" s="34">
        <f>'02_RAW_DATA'!C125</f>
        <v>-106</v>
      </c>
      <c r="D130" s="34">
        <f>'02_RAW_DATA'!D125</f>
        <v>-38</v>
      </c>
    </row>
    <row r="131" spans="1:4">
      <c r="A131" t="s">
        <v>168</v>
      </c>
      <c r="B131" s="38">
        <f>'02_RAW_DATA'!B127</f>
        <v>-1627</v>
      </c>
      <c r="C131" s="38">
        <f>'02_RAW_DATA'!C127</f>
        <v>-1920</v>
      </c>
      <c r="D131" s="38">
        <f>'02_RAW_DATA'!D127</f>
        <v>-1932</v>
      </c>
    </row>
    <row r="132" spans="1:4">
      <c r="A132" t="s">
        <v>169</v>
      </c>
      <c r="B132" s="38">
        <f>'02_RAW_DATA'!B128</f>
        <v>-1718</v>
      </c>
      <c r="C132" s="38">
        <f>'02_RAW_DATA'!C128</f>
        <v>-1529</v>
      </c>
      <c r="D132" s="38">
        <f>'02_RAW_DATA'!D128</f>
        <v>-1623</v>
      </c>
    </row>
    <row r="133" spans="1:4">
      <c r="A133" s="4" t="s">
        <v>170</v>
      </c>
      <c r="B133" s="20">
        <f>SUM(B121:B132)</f>
        <v>987</v>
      </c>
      <c r="C133" s="20">
        <f>SUM(C121:C132)</f>
        <v>4528</v>
      </c>
      <c r="D133" s="20">
        <f>SUM(D121:D132)</f>
        <v>-4620</v>
      </c>
    </row>
    <row r="135" spans="1:4">
      <c r="A135" s="5" t="s">
        <v>198</v>
      </c>
    </row>
    <row r="136" spans="1:4">
      <c r="A136" t="s">
        <v>199</v>
      </c>
      <c r="B136" s="20">
        <f>B98</f>
        <v>6939</v>
      </c>
      <c r="C136" s="20">
        <f t="shared" ref="C136:D136" si="19">C98</f>
        <v>6808</v>
      </c>
      <c r="D136" s="20">
        <f t="shared" si="19"/>
        <v>7829</v>
      </c>
    </row>
    <row r="137" spans="1:4">
      <c r="A137" t="s">
        <v>200</v>
      </c>
      <c r="B137" s="20">
        <f>B118</f>
        <v>-7601</v>
      </c>
      <c r="C137" s="20">
        <f t="shared" ref="C137:D137" si="20">C118</f>
        <v>-10593</v>
      </c>
      <c r="D137" s="20">
        <f t="shared" si="20"/>
        <v>-4157</v>
      </c>
    </row>
    <row r="138" spans="1:4">
      <c r="A138" t="s">
        <v>201</v>
      </c>
      <c r="B138" s="34">
        <f>'02_RAW_DATA'!B137</f>
        <v>102</v>
      </c>
      <c r="C138" s="34">
        <f>'02_RAW_DATA'!C137</f>
        <v>22</v>
      </c>
      <c r="D138" s="34">
        <f>'02_RAW_DATA'!D137</f>
        <v>0</v>
      </c>
    </row>
    <row r="139" spans="1:4">
      <c r="A139" t="s">
        <v>202</v>
      </c>
      <c r="B139" s="20">
        <f>B133</f>
        <v>987</v>
      </c>
      <c r="C139" s="20">
        <f t="shared" ref="C139:D139" si="21">C133</f>
        <v>4528</v>
      </c>
      <c r="D139" s="20">
        <f t="shared" si="21"/>
        <v>-4620</v>
      </c>
    </row>
    <row r="140" spans="1:4">
      <c r="A140" s="4" t="s">
        <v>171</v>
      </c>
      <c r="B140" s="25">
        <f>SUM(B136:B139)</f>
        <v>427</v>
      </c>
      <c r="C140" s="25">
        <f t="shared" ref="C140:D140" si="22">SUM(C136:C139)</f>
        <v>765</v>
      </c>
      <c r="D140" s="25">
        <f t="shared" si="22"/>
        <v>-948</v>
      </c>
    </row>
    <row r="141" spans="1:4">
      <c r="A141" t="s">
        <v>172</v>
      </c>
      <c r="B141" s="34">
        <f>'02_RAW_DATA'!B132</f>
        <v>-30</v>
      </c>
      <c r="C141" s="34">
        <f>'02_RAW_DATA'!C132</f>
        <v>-123</v>
      </c>
      <c r="D141" s="34">
        <f>'02_RAW_DATA'!D132</f>
        <v>153</v>
      </c>
    </row>
    <row r="142" spans="1:4">
      <c r="A142" t="s">
        <v>173</v>
      </c>
      <c r="B142" s="34">
        <f>'02_RAW_DATA'!B133</f>
        <v>-1</v>
      </c>
      <c r="C142" s="34">
        <f>'02_RAW_DATA'!C133</f>
        <v>-23</v>
      </c>
      <c r="D142" s="34">
        <f>'02_RAW_DATA'!D133</f>
        <v>-8</v>
      </c>
    </row>
    <row r="143" spans="1:4">
      <c r="A143" t="s">
        <v>174</v>
      </c>
      <c r="B143" s="34">
        <f>'02_RAW_DATA'!B134</f>
        <v>163</v>
      </c>
      <c r="C143" s="34">
        <f>'02_RAW_DATA'!C134</f>
        <v>559</v>
      </c>
      <c r="D143" s="34">
        <f>'02_RAW_DATA'!D134</f>
        <v>1178</v>
      </c>
    </row>
    <row r="144" spans="1:4">
      <c r="A144" s="4" t="s">
        <v>175</v>
      </c>
      <c r="B144" s="25">
        <f>SUM(B140:B143)</f>
        <v>559</v>
      </c>
      <c r="C144" s="25">
        <f t="shared" ref="C144:D144" si="23">SUM(C140:C143)</f>
        <v>1178</v>
      </c>
      <c r="D144" s="25">
        <f t="shared" si="23"/>
        <v>375</v>
      </c>
    </row>
    <row r="146" spans="1:4">
      <c r="A146" s="5" t="s">
        <v>203</v>
      </c>
    </row>
    <row r="147" spans="1:4">
      <c r="A147" t="s">
        <v>205</v>
      </c>
      <c r="B147" s="20">
        <f>-(B101+B102)</f>
        <v>7453</v>
      </c>
      <c r="C147" s="20">
        <f t="shared" ref="C147:D147" si="24">-(C101+C102)</f>
        <v>9306</v>
      </c>
      <c r="D147" s="20">
        <f t="shared" si="24"/>
        <v>10575</v>
      </c>
    </row>
    <row r="148" spans="1:4">
      <c r="A148" t="s">
        <v>206</v>
      </c>
      <c r="B148" s="36">
        <f>B147/B6</f>
        <v>0.37546599496221661</v>
      </c>
      <c r="C148" s="36">
        <f t="shared" ref="C148:D148" si="25">C147/C6</f>
        <v>0.50636630754162582</v>
      </c>
      <c r="D148" s="36">
        <f t="shared" si="25"/>
        <v>0.59789676033244754</v>
      </c>
    </row>
    <row r="149" spans="1:4">
      <c r="A149" t="s">
        <v>207</v>
      </c>
      <c r="B149" s="20">
        <f>B98-B147</f>
        <v>-514</v>
      </c>
      <c r="C149" s="20">
        <f t="shared" ref="C149:D149" si="26">C98-C147</f>
        <v>-2498</v>
      </c>
      <c r="D149" s="20">
        <f t="shared" si="26"/>
        <v>-2746</v>
      </c>
    </row>
    <row r="150" spans="1:4">
      <c r="A150" t="s">
        <v>208</v>
      </c>
      <c r="B150" s="36">
        <f>B98/B11</f>
        <v>1.5506145251396648</v>
      </c>
      <c r="C150" s="36">
        <f t="shared" ref="C150:D150" si="27">C98/C11</f>
        <v>1.3798135387109851</v>
      </c>
      <c r="D150" s="36">
        <f t="shared" si="27"/>
        <v>1.4415393113607071</v>
      </c>
    </row>
  </sheetData>
  <mergeCells count="3">
    <mergeCell ref="A5:D5"/>
    <mergeCell ref="A1:D1"/>
    <mergeCell ref="A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424B-E23C-8B40-BE11-3D1F071250E3}">
  <dimension ref="A1:H38"/>
  <sheetViews>
    <sheetView zoomScale="86" workbookViewId="0">
      <selection activeCell="B38" sqref="B38"/>
    </sheetView>
  </sheetViews>
  <sheetFormatPr baseColWidth="10" defaultRowHeight="16"/>
  <cols>
    <col min="1" max="1" width="31" bestFit="1" customWidth="1"/>
    <col min="2" max="2" width="18.1640625" customWidth="1"/>
    <col min="8" max="8" width="48.1640625" bestFit="1" customWidth="1"/>
  </cols>
  <sheetData>
    <row r="1" spans="1:8">
      <c r="A1" s="44" t="s">
        <v>209</v>
      </c>
      <c r="B1" s="44"/>
      <c r="C1" s="44"/>
      <c r="D1" s="44"/>
      <c r="E1" s="44"/>
      <c r="F1" s="44"/>
      <c r="G1" s="44"/>
    </row>
    <row r="3" spans="1:8">
      <c r="A3" s="5" t="s">
        <v>210</v>
      </c>
      <c r="B3" s="5" t="s">
        <v>67</v>
      </c>
      <c r="C3" s="5" t="s">
        <v>215</v>
      </c>
      <c r="D3" s="5" t="s">
        <v>216</v>
      </c>
      <c r="E3" s="5" t="s">
        <v>217</v>
      </c>
      <c r="F3" s="5" t="s">
        <v>218</v>
      </c>
      <c r="G3" s="5" t="s">
        <v>219</v>
      </c>
      <c r="H3" s="5" t="s">
        <v>222</v>
      </c>
    </row>
    <row r="5" spans="1:8">
      <c r="A5" s="5" t="s">
        <v>211</v>
      </c>
      <c r="B5" s="5"/>
    </row>
    <row r="6" spans="1:8">
      <c r="A6" t="s">
        <v>180</v>
      </c>
      <c r="B6" s="45">
        <f>('03_HIST_FS'!D7)</f>
        <v>-3.7599303515072346E-2</v>
      </c>
      <c r="C6" s="48">
        <v>0.08</v>
      </c>
      <c r="D6" s="48">
        <v>7.0000000000000007E-2</v>
      </c>
      <c r="E6" s="48">
        <v>6.5000000000000002E-2</v>
      </c>
      <c r="F6" s="48">
        <v>0.06</v>
      </c>
      <c r="G6" s="48">
        <v>5.5E-2</v>
      </c>
      <c r="H6" s="37" t="s">
        <v>223</v>
      </c>
    </row>
    <row r="7" spans="1:8">
      <c r="A7" t="s">
        <v>181</v>
      </c>
      <c r="B7" s="45">
        <f>'03_HIST_FS'!D12</f>
        <v>0.30706168372250808</v>
      </c>
      <c r="C7" s="48">
        <v>0.318</v>
      </c>
      <c r="D7" s="48">
        <v>0.32</v>
      </c>
      <c r="E7" s="48">
        <v>0.32100000000000001</v>
      </c>
      <c r="F7" s="48">
        <v>0.32200000000000001</v>
      </c>
      <c r="G7" s="48">
        <v>0.32300000000000001</v>
      </c>
      <c r="H7" s="37" t="s">
        <v>223</v>
      </c>
    </row>
    <row r="8" spans="1:8">
      <c r="A8" t="s">
        <v>183</v>
      </c>
      <c r="B8" s="45">
        <f>'03_HIST_FS'!D19</f>
        <v>0.22453371592539456</v>
      </c>
      <c r="C8" s="48">
        <v>0.22</v>
      </c>
      <c r="D8" s="48">
        <v>0.22</v>
      </c>
      <c r="E8" s="48">
        <v>0.22</v>
      </c>
      <c r="F8" s="48">
        <v>0.22</v>
      </c>
      <c r="G8" s="48">
        <v>0.22</v>
      </c>
      <c r="H8" s="37" t="s">
        <v>224</v>
      </c>
    </row>
    <row r="9" spans="1:8">
      <c r="A9" t="s">
        <v>220</v>
      </c>
      <c r="B9" s="46">
        <f>11576</f>
        <v>11576</v>
      </c>
      <c r="C9" s="49">
        <v>13000</v>
      </c>
      <c r="D9" s="49">
        <v>13800</v>
      </c>
      <c r="E9" s="49">
        <v>14200</v>
      </c>
      <c r="F9" s="49">
        <v>14400</v>
      </c>
      <c r="G9" s="49">
        <v>14600</v>
      </c>
      <c r="H9" s="37" t="s">
        <v>226</v>
      </c>
    </row>
    <row r="10" spans="1:8">
      <c r="A10" t="s">
        <v>212</v>
      </c>
      <c r="B10" s="34">
        <f>'03_HIST_FS'!D147</f>
        <v>10575</v>
      </c>
      <c r="C10" s="52">
        <f>C9*($B$10/$B$9)</f>
        <v>11875.86385625432</v>
      </c>
      <c r="D10" s="52">
        <f t="shared" ref="D10:G10" si="0">D9*($B$10/$B$9)</f>
        <v>12606.686247408432</v>
      </c>
      <c r="E10" s="52">
        <f t="shared" si="0"/>
        <v>12972.097442985487</v>
      </c>
      <c r="F10" s="52">
        <f t="shared" si="0"/>
        <v>13154.803040774015</v>
      </c>
      <c r="G10" s="52">
        <f t="shared" si="0"/>
        <v>13337.508638562544</v>
      </c>
      <c r="H10" s="37" t="s">
        <v>225</v>
      </c>
    </row>
    <row r="11" spans="1:8">
      <c r="A11" t="s">
        <v>206</v>
      </c>
      <c r="B11" s="45">
        <f>'03_HIST_FS'!D148</f>
        <v>0.59789676033244754</v>
      </c>
      <c r="C11" s="50"/>
      <c r="D11" s="50"/>
      <c r="E11" s="50"/>
      <c r="F11" s="50"/>
      <c r="G11" s="50"/>
      <c r="H11" s="37" t="s">
        <v>227</v>
      </c>
    </row>
    <row r="12" spans="1:8">
      <c r="A12" t="s">
        <v>208</v>
      </c>
      <c r="B12" s="45">
        <f>'03_HIST_FS'!D150</f>
        <v>1.4415393113607071</v>
      </c>
      <c r="C12" s="50"/>
      <c r="D12" s="50"/>
      <c r="E12" s="50"/>
      <c r="F12" s="50"/>
      <c r="G12" s="50"/>
      <c r="H12" s="37" t="s">
        <v>227</v>
      </c>
    </row>
    <row r="13" spans="1:8">
      <c r="A13" t="s">
        <v>213</v>
      </c>
      <c r="B13" s="47">
        <f>10.9%</f>
        <v>0.109</v>
      </c>
      <c r="C13" s="51">
        <v>0.1</v>
      </c>
      <c r="D13" s="51">
        <v>0.1</v>
      </c>
      <c r="E13" s="51">
        <v>0.1</v>
      </c>
      <c r="F13" s="51">
        <v>0.1</v>
      </c>
      <c r="G13" s="51">
        <v>0.1</v>
      </c>
      <c r="H13" s="37" t="s">
        <v>228</v>
      </c>
    </row>
    <row r="14" spans="1:8">
      <c r="A14" t="s">
        <v>214</v>
      </c>
      <c r="B14" s="35">
        <v>8.3000000000000004E-2</v>
      </c>
      <c r="C14" s="51">
        <v>0.14000000000000001</v>
      </c>
      <c r="D14" s="51">
        <v>0.09</v>
      </c>
      <c r="E14" s="51">
        <v>0.09</v>
      </c>
      <c r="F14" s="51">
        <v>0.09</v>
      </c>
      <c r="G14" s="51">
        <v>0.09</v>
      </c>
      <c r="H14" s="37" t="s">
        <v>229</v>
      </c>
    </row>
    <row r="16" spans="1:8">
      <c r="A16" t="s">
        <v>243</v>
      </c>
      <c r="B16" s="60">
        <f>10425/'04_DRIVERS'!B9</f>
        <v>0.90057014512785072</v>
      </c>
      <c r="C16" s="60">
        <f>90.1%</f>
        <v>0.90099999999999991</v>
      </c>
      <c r="D16" s="60">
        <f>90.1%</f>
        <v>0.90099999999999991</v>
      </c>
      <c r="E16" s="60">
        <f>90.1%</f>
        <v>0.90099999999999991</v>
      </c>
      <c r="F16" s="60">
        <f>90.1%</f>
        <v>0.90099999999999991</v>
      </c>
      <c r="G16" s="60">
        <f>90.1%</f>
        <v>0.90099999999999991</v>
      </c>
    </row>
    <row r="17" spans="1:7">
      <c r="A17" t="s">
        <v>247</v>
      </c>
      <c r="B17" s="60">
        <f>1989/74091</f>
        <v>2.6845365833906953E-2</v>
      </c>
      <c r="C17" s="60">
        <f t="shared" ref="C17:G17" si="1">1989/74091</f>
        <v>2.6845365833906953E-2</v>
      </c>
      <c r="D17" s="60">
        <f t="shared" si="1"/>
        <v>2.6845365833906953E-2</v>
      </c>
      <c r="E17" s="60">
        <f t="shared" si="1"/>
        <v>2.6845365833906953E-2</v>
      </c>
      <c r="F17" s="60">
        <f t="shared" si="1"/>
        <v>2.6845365833906953E-2</v>
      </c>
      <c r="G17" s="60">
        <f t="shared" si="1"/>
        <v>2.6845365833906953E-2</v>
      </c>
    </row>
    <row r="19" spans="1:7">
      <c r="A19" t="s">
        <v>257</v>
      </c>
      <c r="B19" s="60">
        <f>4172/B9</f>
        <v>0.36040082930200412</v>
      </c>
      <c r="C19" s="63">
        <v>0.4</v>
      </c>
      <c r="D19" s="63">
        <v>0.4</v>
      </c>
      <c r="E19" s="63">
        <v>0.4</v>
      </c>
      <c r="F19" s="63">
        <v>0.4</v>
      </c>
      <c r="G19" s="63">
        <v>0.4</v>
      </c>
    </row>
    <row r="20" spans="1:7">
      <c r="A20" t="s">
        <v>258</v>
      </c>
      <c r="B20" s="60">
        <f>2961/47539</f>
        <v>6.2285702265508322E-2</v>
      </c>
      <c r="C20" s="64">
        <v>6.25E-2</v>
      </c>
      <c r="D20" s="64">
        <v>6.25E-2</v>
      </c>
      <c r="E20" s="64">
        <v>6.25E-2</v>
      </c>
      <c r="F20" s="64">
        <v>6.25E-2</v>
      </c>
      <c r="G20" s="64">
        <v>6.25E-2</v>
      </c>
    </row>
    <row r="21" spans="1:7">
      <c r="A21" t="s">
        <v>255</v>
      </c>
      <c r="B21" s="60">
        <f>1705/((47539+46755)/2)</f>
        <v>3.6163488663117485E-2</v>
      </c>
      <c r="C21" s="64">
        <v>3.7999999999999999E-2</v>
      </c>
      <c r="D21" s="64">
        <v>3.9E-2</v>
      </c>
      <c r="E21" s="63">
        <v>0.04</v>
      </c>
      <c r="F21" s="63">
        <v>0.04</v>
      </c>
      <c r="G21" s="63">
        <v>0.04</v>
      </c>
    </row>
    <row r="23" spans="1:7">
      <c r="A23" t="s">
        <v>273</v>
      </c>
    </row>
    <row r="24" spans="1:7">
      <c r="A24" s="21"/>
      <c r="B24" s="21" t="s">
        <v>275</v>
      </c>
    </row>
    <row r="25" spans="1:7">
      <c r="A25" t="s">
        <v>274</v>
      </c>
      <c r="B25" s="73">
        <v>3.2000000000000001E-2</v>
      </c>
      <c r="C25" s="21"/>
    </row>
    <row r="26" spans="1:7">
      <c r="A26" t="s">
        <v>276</v>
      </c>
      <c r="B26" s="73">
        <v>0.215</v>
      </c>
    </row>
    <row r="27" spans="1:7">
      <c r="A27" t="s">
        <v>277</v>
      </c>
      <c r="B27" s="73">
        <v>0.28499999999999998</v>
      </c>
    </row>
    <row r="28" spans="1:7">
      <c r="A28" t="s">
        <v>278</v>
      </c>
      <c r="B28" s="73">
        <v>0.15</v>
      </c>
    </row>
    <row r="29" spans="1:7">
      <c r="A29" t="s">
        <v>279</v>
      </c>
      <c r="B29" s="73">
        <v>0.05</v>
      </c>
    </row>
    <row r="30" spans="1:7">
      <c r="A30" t="s">
        <v>280</v>
      </c>
      <c r="B30" s="73">
        <v>0.05</v>
      </c>
    </row>
    <row r="31" spans="1:7">
      <c r="A31" t="s">
        <v>281</v>
      </c>
      <c r="B31" s="73">
        <v>7.0000000000000007E-2</v>
      </c>
    </row>
    <row r="32" spans="1:7">
      <c r="A32" t="s">
        <v>282</v>
      </c>
      <c r="B32" s="73">
        <v>0.111</v>
      </c>
    </row>
    <row r="33" spans="1:2">
      <c r="A33" t="s">
        <v>283</v>
      </c>
      <c r="B33" s="73">
        <v>0.02</v>
      </c>
    </row>
    <row r="34" spans="1:2">
      <c r="A34" t="s">
        <v>284</v>
      </c>
      <c r="B34" s="73">
        <v>0.123</v>
      </c>
    </row>
    <row r="35" spans="1:2">
      <c r="A35" t="s">
        <v>285</v>
      </c>
      <c r="B35" s="74">
        <v>0.5</v>
      </c>
    </row>
    <row r="37" spans="1:2">
      <c r="A37" t="s">
        <v>286</v>
      </c>
      <c r="B37" s="77">
        <v>500</v>
      </c>
    </row>
    <row r="38" spans="1:2">
      <c r="A38" s="20" t="s">
        <v>307</v>
      </c>
      <c r="B38" s="78">
        <v>7.0000000000000007E-2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C917-DB07-4740-9F78-9107F88473E6}">
  <dimension ref="A1:I20"/>
  <sheetViews>
    <sheetView workbookViewId="0">
      <selection activeCell="B3" sqref="B3:I3"/>
    </sheetView>
  </sheetViews>
  <sheetFormatPr baseColWidth="10" defaultRowHeight="16"/>
  <cols>
    <col min="1" max="1" width="21.83203125" customWidth="1"/>
  </cols>
  <sheetData>
    <row r="1" spans="1:9">
      <c r="A1" s="14" t="s">
        <v>230</v>
      </c>
      <c r="B1" s="14"/>
      <c r="C1" s="14"/>
      <c r="D1" s="14"/>
      <c r="E1" s="14"/>
      <c r="F1" s="14"/>
      <c r="G1" s="14"/>
      <c r="H1" s="14"/>
      <c r="I1" s="14"/>
    </row>
    <row r="3" spans="1:9">
      <c r="A3" s="5" t="s">
        <v>64</v>
      </c>
      <c r="B3" s="5" t="s">
        <v>65</v>
      </c>
      <c r="C3" s="5" t="s">
        <v>66</v>
      </c>
      <c r="D3" s="5" t="s">
        <v>67</v>
      </c>
      <c r="E3" s="5" t="s">
        <v>215</v>
      </c>
      <c r="F3" s="5" t="s">
        <v>216</v>
      </c>
      <c r="G3" s="5" t="s">
        <v>217</v>
      </c>
      <c r="H3" s="5" t="s">
        <v>218</v>
      </c>
      <c r="I3" s="5" t="s">
        <v>219</v>
      </c>
    </row>
    <row r="5" spans="1:9">
      <c r="A5" t="s">
        <v>68</v>
      </c>
      <c r="B5" s="34">
        <f>'03_HIST_FS'!B6</f>
        <v>19850</v>
      </c>
      <c r="C5" s="34">
        <f>'03_HIST_FS'!C6</f>
        <v>18378</v>
      </c>
      <c r="D5" s="34">
        <f>'03_HIST_FS'!D6</f>
        <v>17687</v>
      </c>
      <c r="E5" s="53">
        <f>D5*(1+'04_DRIVERS'!C6)</f>
        <v>19101.960000000003</v>
      </c>
      <c r="F5" s="53">
        <f>E5*(1+'04_DRIVERS'!D6)</f>
        <v>20439.097200000004</v>
      </c>
      <c r="G5" s="53">
        <f>F5*(1+'04_DRIVERS'!E6)</f>
        <v>21767.638518000003</v>
      </c>
      <c r="H5" s="53">
        <f>G5*(1+'04_DRIVERS'!F6)</f>
        <v>23073.696829080003</v>
      </c>
      <c r="I5" s="53">
        <f>H5*(1+'04_DRIVERS'!G6)</f>
        <v>24342.750154679401</v>
      </c>
    </row>
    <row r="6" spans="1:9">
      <c r="A6" t="s">
        <v>231</v>
      </c>
      <c r="C6" s="36">
        <f>C5/B5-1</f>
        <v>-7.4156171284634809E-2</v>
      </c>
      <c r="D6" s="36">
        <f>D5/C5-1</f>
        <v>-3.7599303515072346E-2</v>
      </c>
      <c r="E6" s="56">
        <f>'04_DRIVERS'!C6</f>
        <v>0.08</v>
      </c>
      <c r="F6" s="56">
        <f>'04_DRIVERS'!D6</f>
        <v>7.0000000000000007E-2</v>
      </c>
      <c r="G6" s="56">
        <f>'04_DRIVERS'!E6</f>
        <v>6.5000000000000002E-2</v>
      </c>
      <c r="H6" s="56">
        <f>'04_DRIVERS'!F6</f>
        <v>0.06</v>
      </c>
      <c r="I6" s="56">
        <f>'04_DRIVERS'!G6</f>
        <v>5.5E-2</v>
      </c>
    </row>
    <row r="8" spans="1:9">
      <c r="A8" t="s">
        <v>72</v>
      </c>
      <c r="B8" s="34">
        <f>'03_HIST_FS'!B11</f>
        <v>4475</v>
      </c>
      <c r="C8" s="34">
        <f>'03_HIST_FS'!C11</f>
        <v>4934</v>
      </c>
      <c r="D8" s="34">
        <f>'03_HIST_FS'!D11</f>
        <v>5431</v>
      </c>
      <c r="E8" s="53">
        <f>E5*'04_DRIVERS'!C7</f>
        <v>6074.4232800000009</v>
      </c>
      <c r="F8" s="53">
        <f>F5*'04_DRIVERS'!D7</f>
        <v>6540.5111040000011</v>
      </c>
      <c r="G8" s="53">
        <f>G5*'04_DRIVERS'!E7</f>
        <v>6987.4119642780015</v>
      </c>
      <c r="H8" s="53">
        <f>H5*'04_DRIVERS'!F7</f>
        <v>7429.7303789637608</v>
      </c>
      <c r="I8" s="53">
        <f>I5*'04_DRIVERS'!G7</f>
        <v>7862.7082999614468</v>
      </c>
    </row>
    <row r="9" spans="1:9">
      <c r="A9" t="s">
        <v>181</v>
      </c>
      <c r="B9" s="36">
        <f>B8/B5</f>
        <v>0.22544080604534006</v>
      </c>
      <c r="C9" s="36">
        <f>C8/C5</f>
        <v>0.26847317444770924</v>
      </c>
      <c r="D9" s="36">
        <f>D8/D5</f>
        <v>0.30706168372250808</v>
      </c>
      <c r="E9" s="56">
        <f>'04_DRIVERS'!C7</f>
        <v>0.318</v>
      </c>
      <c r="F9" s="56">
        <f>'04_DRIVERS'!D7</f>
        <v>0.32</v>
      </c>
      <c r="G9" s="56">
        <f>'04_DRIVERS'!E7</f>
        <v>0.32100000000000001</v>
      </c>
      <c r="H9" s="56">
        <f>'04_DRIVERS'!F7</f>
        <v>0.32200000000000001</v>
      </c>
      <c r="I9" s="56">
        <f>'04_DRIVERS'!G7</f>
        <v>0.32300000000000001</v>
      </c>
    </row>
    <row r="11" spans="1:9">
      <c r="A11" t="s">
        <v>73</v>
      </c>
      <c r="B11" s="34">
        <f>'03_HIST_FS'!B13</f>
        <v>248</v>
      </c>
      <c r="C11" s="34">
        <f>'03_HIST_FS'!C13</f>
        <v>450</v>
      </c>
      <c r="D11" s="34">
        <f>'03_HIST_FS'!D13</f>
        <v>380</v>
      </c>
      <c r="E11">
        <f>$D11</f>
        <v>380</v>
      </c>
      <c r="F11" s="20">
        <f t="shared" ref="F11:I11" si="0">$D11</f>
        <v>380</v>
      </c>
      <c r="G11" s="20">
        <f t="shared" si="0"/>
        <v>380</v>
      </c>
      <c r="H11" s="20">
        <f t="shared" si="0"/>
        <v>380</v>
      </c>
      <c r="I11" s="20">
        <f t="shared" si="0"/>
        <v>380</v>
      </c>
    </row>
    <row r="12" spans="1:9">
      <c r="A12" t="s">
        <v>74</v>
      </c>
      <c r="B12" s="34">
        <f>'03_HIST_FS'!B14</f>
        <v>-1712</v>
      </c>
      <c r="C12" s="34">
        <f>'03_HIST_FS'!C14</f>
        <v>-1807</v>
      </c>
      <c r="D12" s="34">
        <f>'03_HIST_FS'!D14</f>
        <v>-1705</v>
      </c>
      <c r="E12" s="53">
        <f>-'09_DEBT'!C13</f>
        <v>-1819.9684374999999</v>
      </c>
      <c r="F12" s="53">
        <f>-'09_DEBT'!D13</f>
        <v>-2134.2425271967045</v>
      </c>
      <c r="G12" s="53">
        <f>-'09_DEBT'!E13</f>
        <v>-2471.6145683528871</v>
      </c>
      <c r="H12" s="53">
        <f>-'09_DEBT'!F13</f>
        <v>-2754.5340897965875</v>
      </c>
      <c r="I12" s="53">
        <f>-'09_DEBT'!G13</f>
        <v>-3032.2926748883665</v>
      </c>
    </row>
    <row r="13" spans="1:9">
      <c r="A13" t="s">
        <v>232</v>
      </c>
      <c r="B13" s="34" cm="1">
        <f t="array" ref="B13:D13">'03_HIST_FS'!B15:D15</f>
        <v>37</v>
      </c>
      <c r="C13" s="34">
        <v>73</v>
      </c>
      <c r="D13" s="34">
        <v>76</v>
      </c>
      <c r="E13" s="57">
        <f>D13*1.03</f>
        <v>78.28</v>
      </c>
      <c r="F13" s="57">
        <f t="shared" ref="F13:P13" si="1">E13*1.03</f>
        <v>80.628399999999999</v>
      </c>
      <c r="G13" s="57">
        <f t="shared" si="1"/>
        <v>83.047252</v>
      </c>
      <c r="H13" s="57">
        <f t="shared" si="1"/>
        <v>85.538669560000002</v>
      </c>
      <c r="I13" s="57">
        <f t="shared" si="1"/>
        <v>88.104829646799999</v>
      </c>
    </row>
    <row r="14" spans="1:9">
      <c r="E14" s="27"/>
      <c r="F14" s="27"/>
      <c r="G14" s="27"/>
      <c r="H14" s="27"/>
      <c r="I14" s="27"/>
    </row>
    <row r="15" spans="1:9">
      <c r="A15" t="s">
        <v>76</v>
      </c>
      <c r="B15" s="34">
        <f>'03_HIST_FS'!B16</f>
        <v>3048</v>
      </c>
      <c r="C15" s="34">
        <f>'03_HIST_FS'!C16</f>
        <v>3650</v>
      </c>
      <c r="D15" s="34">
        <f>'03_HIST_FS'!D16</f>
        <v>4182</v>
      </c>
      <c r="E15" s="68">
        <f>E8+E11+E12+E13</f>
        <v>4712.7348425000009</v>
      </c>
      <c r="F15" s="68">
        <f t="shared" ref="F15:I15" si="2">F8+F11+F12+F13</f>
        <v>4866.8969768032966</v>
      </c>
      <c r="G15" s="68">
        <f t="shared" si="2"/>
        <v>4978.8446479251143</v>
      </c>
      <c r="H15" s="68">
        <f t="shared" si="2"/>
        <v>5140.7349587271738</v>
      </c>
      <c r="I15" s="68">
        <f t="shared" si="2"/>
        <v>5298.52045471988</v>
      </c>
    </row>
    <row r="16" spans="1:9">
      <c r="A16" t="s">
        <v>183</v>
      </c>
      <c r="B16" s="36">
        <f>-B17/B15</f>
        <v>0.27263779527559057</v>
      </c>
      <c r="C16" s="36">
        <f t="shared" ref="C16:D16" si="3">-C17/C15</f>
        <v>0.22493150684931507</v>
      </c>
      <c r="D16" s="36">
        <f t="shared" si="3"/>
        <v>0.22453371592539456</v>
      </c>
      <c r="E16" s="58">
        <f>'04_DRIVERS'!C8</f>
        <v>0.22</v>
      </c>
      <c r="F16" s="58">
        <f>'04_DRIVERS'!D8</f>
        <v>0.22</v>
      </c>
      <c r="G16" s="58">
        <f>'04_DRIVERS'!E8</f>
        <v>0.22</v>
      </c>
      <c r="H16" s="58">
        <f>'04_DRIVERS'!F8</f>
        <v>0.22</v>
      </c>
      <c r="I16" s="58">
        <f>'04_DRIVERS'!G8</f>
        <v>0.22</v>
      </c>
    </row>
    <row r="17" spans="1:9">
      <c r="A17" t="s">
        <v>233</v>
      </c>
      <c r="B17" s="34">
        <f>'03_HIST_FS'!B18</f>
        <v>-831</v>
      </c>
      <c r="C17" s="34">
        <f>'03_HIST_FS'!C18</f>
        <v>-821</v>
      </c>
      <c r="D17" s="34">
        <f>'03_HIST_FS'!D18</f>
        <v>-939</v>
      </c>
      <c r="E17" s="53">
        <f>-E15*E16</f>
        <v>-1036.8016653500001</v>
      </c>
      <c r="F17" s="53">
        <f t="shared" ref="F17:I17" si="4">-F15*F16</f>
        <v>-1070.7173348967253</v>
      </c>
      <c r="G17" s="53">
        <f t="shared" si="4"/>
        <v>-1095.3458225435252</v>
      </c>
      <c r="H17" s="53">
        <f t="shared" si="4"/>
        <v>-1130.9616909199783</v>
      </c>
      <c r="I17" s="53">
        <f t="shared" si="4"/>
        <v>-1165.6745000383737</v>
      </c>
    </row>
    <row r="19" spans="1:9">
      <c r="A19" t="s">
        <v>234</v>
      </c>
      <c r="B19" s="34">
        <f>'03_HIST_FS'!B20</f>
        <v>2217</v>
      </c>
      <c r="C19" s="34">
        <f>'03_HIST_FS'!C20</f>
        <v>2829</v>
      </c>
      <c r="D19" s="34">
        <f>'03_HIST_FS'!D20</f>
        <v>3243</v>
      </c>
      <c r="E19" s="53">
        <f>E15+E17</f>
        <v>3675.933177150001</v>
      </c>
      <c r="F19" s="53">
        <f t="shared" ref="F19:I19" si="5">F15+F17</f>
        <v>3796.1796419065713</v>
      </c>
      <c r="G19" s="53">
        <f t="shared" si="5"/>
        <v>3883.4988253815891</v>
      </c>
      <c r="H19" s="53">
        <f t="shared" si="5"/>
        <v>4009.7732678071952</v>
      </c>
      <c r="I19" s="53">
        <f t="shared" si="5"/>
        <v>4132.8459546815066</v>
      </c>
    </row>
    <row r="20" spans="1:9">
      <c r="A20" t="s">
        <v>235</v>
      </c>
      <c r="C20" s="36">
        <f>C19/B19-1</f>
        <v>0.27604871447902579</v>
      </c>
      <c r="D20" s="36">
        <f>D19/C19-1</f>
        <v>0.14634146341463405</v>
      </c>
      <c r="E20" s="55">
        <f>E19/D19-1</f>
        <v>0.13349774195189679</v>
      </c>
      <c r="F20" s="55">
        <f t="shared" ref="F20:I20" si="6">F19/E19-1</f>
        <v>3.2711820090755461E-2</v>
      </c>
      <c r="G20" s="55">
        <f t="shared" si="6"/>
        <v>2.3001857580997598E-2</v>
      </c>
      <c r="H20" s="55">
        <f t="shared" si="6"/>
        <v>3.2515638114863687E-2</v>
      </c>
      <c r="I20" s="55">
        <f t="shared" si="6"/>
        <v>3.0693178555109446E-2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B40B-0239-BE40-AF46-F493853940DA}">
  <dimension ref="A1:J38"/>
  <sheetViews>
    <sheetView zoomScale="91" workbookViewId="0">
      <selection activeCell="B38" sqref="B38:I38"/>
    </sheetView>
  </sheetViews>
  <sheetFormatPr baseColWidth="10" defaultRowHeight="16"/>
  <cols>
    <col min="1" max="1" width="23.5" customWidth="1"/>
  </cols>
  <sheetData>
    <row r="1" spans="1:9">
      <c r="A1" s="15" t="s">
        <v>260</v>
      </c>
      <c r="B1" s="15"/>
      <c r="C1" s="15"/>
      <c r="D1" s="15"/>
      <c r="E1" s="15"/>
      <c r="F1" s="15"/>
      <c r="G1" s="15"/>
      <c r="H1" s="15"/>
      <c r="I1" s="15"/>
    </row>
    <row r="3" spans="1:9">
      <c r="A3" s="25" t="s">
        <v>82</v>
      </c>
      <c r="B3" s="25" t="s">
        <v>65</v>
      </c>
      <c r="C3" s="25" t="s">
        <v>66</v>
      </c>
      <c r="D3" s="25" t="s">
        <v>67</v>
      </c>
      <c r="E3" s="25" t="s">
        <v>215</v>
      </c>
      <c r="F3" s="25" t="s">
        <v>216</v>
      </c>
      <c r="G3" s="25" t="s">
        <v>217</v>
      </c>
      <c r="H3" s="25" t="s">
        <v>218</v>
      </c>
      <c r="I3" s="25" t="s">
        <v>219</v>
      </c>
    </row>
    <row r="5" spans="1:9">
      <c r="A5" s="25" t="s">
        <v>112</v>
      </c>
    </row>
    <row r="6" spans="1:9">
      <c r="A6" t="s">
        <v>83</v>
      </c>
      <c r="B6" s="70">
        <f>'03_HIST_FS'!B29</f>
        <v>9729</v>
      </c>
      <c r="C6" s="70">
        <f>'03_HIST_FS'!C29</f>
        <v>9532</v>
      </c>
      <c r="D6" s="70">
        <f>'03_HIST_FS'!D29</f>
        <v>9417</v>
      </c>
      <c r="E6" s="66">
        <f>$D6</f>
        <v>9417</v>
      </c>
      <c r="F6" s="66">
        <f t="shared" ref="F6:I6" si="0">$D6</f>
        <v>9417</v>
      </c>
      <c r="G6" s="66">
        <f t="shared" si="0"/>
        <v>9417</v>
      </c>
      <c r="H6" s="66">
        <f t="shared" si="0"/>
        <v>9417</v>
      </c>
      <c r="I6" s="66">
        <f t="shared" si="0"/>
        <v>9417</v>
      </c>
    </row>
    <row r="7" spans="1:9">
      <c r="A7" s="37" t="s">
        <v>84</v>
      </c>
      <c r="B7" s="70">
        <f>'03_HIST_FS'!B30</f>
        <v>3431</v>
      </c>
      <c r="C7" s="70">
        <f>'03_HIST_FS'!C30</f>
        <v>3564</v>
      </c>
      <c r="D7" s="70">
        <f>'03_HIST_FS'!D30</f>
        <v>3879</v>
      </c>
      <c r="E7" s="66">
        <f>D7*(1+'04_DRIVERS'!$B$29)</f>
        <v>4072.9500000000003</v>
      </c>
      <c r="F7" s="66">
        <f>E7*(1+'04_DRIVERS'!$B$29)</f>
        <v>4276.5975000000008</v>
      </c>
      <c r="G7" s="66">
        <f>F7*(1+'04_DRIVERS'!$B$29)</f>
        <v>4490.4273750000011</v>
      </c>
      <c r="H7" s="66">
        <f>G7*(1+'04_DRIVERS'!$B$29)</f>
        <v>4714.9487437500011</v>
      </c>
      <c r="I7" s="66">
        <f>H7*(1+'04_DRIVERS'!$B$29)</f>
        <v>4950.6961809375016</v>
      </c>
    </row>
    <row r="8" spans="1:9">
      <c r="A8" s="37" t="s">
        <v>261</v>
      </c>
      <c r="B8" s="70">
        <f>'03_HIST_FS'!B31</f>
        <v>68907</v>
      </c>
      <c r="C8" s="70">
        <f>'03_HIST_FS'!C31</f>
        <v>74091</v>
      </c>
      <c r="D8" s="70">
        <f>'03_HIST_FS'!D31</f>
        <v>81520</v>
      </c>
      <c r="E8" s="66">
        <f>'08_CAPEX_PPE'!C9</f>
        <v>91044.565777219905</v>
      </c>
      <c r="F8" s="66">
        <f>'08_CAPEX_PPE'!D9</f>
        <v>101034.24110174124</v>
      </c>
      <c r="G8" s="66">
        <f>'08_CAPEX_PPE'!E9</f>
        <v>111116.13993761383</v>
      </c>
      <c r="H8" s="66">
        <f>'08_CAPEX_PPE'!F9</f>
        <v>121107.58651093698</v>
      </c>
      <c r="I8" s="66">
        <f>'08_CAPEX_PPE'!G9</f>
        <v>131011.00904578932</v>
      </c>
    </row>
    <row r="9" spans="1:9">
      <c r="A9" s="37" t="s">
        <v>86</v>
      </c>
      <c r="B9" s="66">
        <f>B10-B6-B7-B8</f>
        <v>5879</v>
      </c>
      <c r="C9" s="66">
        <f t="shared" ref="C9:D9" si="1">C10-C6-C7-C8</f>
        <v>5223</v>
      </c>
      <c r="D9" s="66">
        <f t="shared" si="1"/>
        <v>5980</v>
      </c>
      <c r="E9" s="66">
        <f>D9*(1+'04_DRIVERS'!$B$30)</f>
        <v>6279</v>
      </c>
      <c r="F9" s="66">
        <f>E9*(1+'04_DRIVERS'!$B$30)</f>
        <v>6592.9500000000007</v>
      </c>
      <c r="G9" s="66">
        <f>F9*(1+'04_DRIVERS'!$B$30)</f>
        <v>6922.5975000000008</v>
      </c>
      <c r="H9" s="66">
        <f>G9*(1+'04_DRIVERS'!$B$30)</f>
        <v>7268.7273750000013</v>
      </c>
      <c r="I9" s="66">
        <f>H9*(1+'04_DRIVERS'!$B$30)</f>
        <v>7632.1637437500021</v>
      </c>
    </row>
    <row r="10" spans="1:9">
      <c r="A10" s="25" t="s">
        <v>91</v>
      </c>
      <c r="B10" s="75">
        <f>'03_HIST_FS'!B37</f>
        <v>87946</v>
      </c>
      <c r="C10" s="75">
        <f>'03_HIST_FS'!C37</f>
        <v>92410</v>
      </c>
      <c r="D10" s="75">
        <f>'03_HIST_FS'!D37</f>
        <v>100796</v>
      </c>
      <c r="E10" s="66">
        <f>SUM(E6:E9)</f>
        <v>110813.5157772199</v>
      </c>
      <c r="F10" s="66">
        <f t="shared" ref="F10:I10" si="2">SUM(F6:F9)</f>
        <v>121320.78860174124</v>
      </c>
      <c r="G10" s="66">
        <f t="shared" si="2"/>
        <v>131946.16481261383</v>
      </c>
      <c r="H10" s="66">
        <f t="shared" si="2"/>
        <v>142508.26262968697</v>
      </c>
      <c r="I10" s="66">
        <f t="shared" si="2"/>
        <v>153010.86897047682</v>
      </c>
    </row>
    <row r="11" spans="1:9">
      <c r="B11" s="66"/>
      <c r="C11" s="66"/>
      <c r="D11" s="66"/>
      <c r="E11" s="66"/>
      <c r="F11" s="66"/>
      <c r="G11" s="66"/>
      <c r="H11" s="66"/>
      <c r="I11" s="66"/>
    </row>
    <row r="12" spans="1:9">
      <c r="A12" t="s">
        <v>94</v>
      </c>
      <c r="B12" s="70">
        <f>'03_HIST_FS'!B39</f>
        <v>828</v>
      </c>
      <c r="C12" s="70">
        <f>'03_HIST_FS'!C39</f>
        <v>557</v>
      </c>
      <c r="D12" s="70">
        <f>'03_HIST_FS'!D39</f>
        <v>559</v>
      </c>
      <c r="E12" s="66">
        <f>'05_INCOME_STATEMENT'!E5*'04_DRIVERS'!$B$25</f>
        <v>611.26272000000006</v>
      </c>
      <c r="F12" s="66">
        <f>'05_INCOME_STATEMENT'!F5*'04_DRIVERS'!$B$25</f>
        <v>654.05111040000008</v>
      </c>
      <c r="G12" s="66">
        <f>'05_INCOME_STATEMENT'!G5*'04_DRIVERS'!$B$25</f>
        <v>696.56443257600017</v>
      </c>
      <c r="H12" s="66">
        <f>'05_INCOME_STATEMENT'!H5*'04_DRIVERS'!$B$25</f>
        <v>738.35829853056009</v>
      </c>
      <c r="I12" s="66">
        <f>'05_INCOME_STATEMENT'!I5*'04_DRIVERS'!$B$25</f>
        <v>778.96800494974082</v>
      </c>
    </row>
    <row r="13" spans="1:9">
      <c r="A13" t="s">
        <v>95</v>
      </c>
      <c r="B13" s="70">
        <f>'03_HIST_FS'!B40</f>
        <v>3415</v>
      </c>
      <c r="C13" s="70">
        <f>'03_HIST_FS'!C40</f>
        <v>4092</v>
      </c>
      <c r="D13" s="70">
        <f>'03_HIST_FS'!D40</f>
        <v>3867</v>
      </c>
      <c r="E13" s="66">
        <f>'05_INCOME_STATEMENT'!E5*'04_DRIVERS'!$B$26</f>
        <v>4106.9214000000002</v>
      </c>
      <c r="F13" s="66">
        <f>'05_INCOME_STATEMENT'!F5*'04_DRIVERS'!$B$26</f>
        <v>4394.4058980000009</v>
      </c>
      <c r="G13" s="66">
        <f>'05_INCOME_STATEMENT'!G5*'04_DRIVERS'!$B$26</f>
        <v>4680.0422813700006</v>
      </c>
      <c r="H13" s="66">
        <f>'05_INCOME_STATEMENT'!H5*'04_DRIVERS'!$B$26</f>
        <v>4960.8448182522006</v>
      </c>
      <c r="I13" s="66">
        <f>'05_INCOME_STATEMENT'!I5*'04_DRIVERS'!$B$26</f>
        <v>5233.6912832560711</v>
      </c>
    </row>
    <row r="14" spans="1:9">
      <c r="A14" t="s">
        <v>99</v>
      </c>
      <c r="B14" s="70">
        <f>'03_HIST_FS'!B44</f>
        <v>559</v>
      </c>
      <c r="C14" s="70">
        <f>'03_HIST_FS'!C44</f>
        <v>1178</v>
      </c>
      <c r="D14" s="70">
        <f>'03_HIST_FS'!D44</f>
        <v>375</v>
      </c>
      <c r="E14" s="66">
        <f>'07_CASH_FLOW'!E26</f>
        <v>499.99999999999955</v>
      </c>
      <c r="F14" s="66">
        <f>'07_CASH_FLOW'!F26</f>
        <v>499.99999999999955</v>
      </c>
      <c r="G14" s="66">
        <f>'07_CASH_FLOW'!G26</f>
        <v>499.99999999999955</v>
      </c>
      <c r="H14" s="66">
        <f>'07_CASH_FLOW'!H26</f>
        <v>499.99999999999955</v>
      </c>
      <c r="I14" s="66">
        <f>'07_CASH_FLOW'!I26</f>
        <v>499.99999999999955</v>
      </c>
    </row>
    <row r="15" spans="1:9">
      <c r="A15" t="s">
        <v>262</v>
      </c>
      <c r="B15" s="66">
        <f>B16-B12-B13-B14</f>
        <v>5577</v>
      </c>
      <c r="C15" s="66">
        <f t="shared" ref="C15:D15" si="3">C16-C12-C13-C14</f>
        <v>8505</v>
      </c>
      <c r="D15" s="66">
        <f t="shared" si="3"/>
        <v>2684</v>
      </c>
      <c r="E15" s="66">
        <f>'05_INCOME_STATEMENT'!E5*'04_DRIVERS'!$B$28</f>
        <v>2865.2940000000003</v>
      </c>
      <c r="F15" s="66">
        <f>'05_INCOME_STATEMENT'!F5*'04_DRIVERS'!$B$28</f>
        <v>3065.8645800000004</v>
      </c>
      <c r="G15" s="66">
        <f>'05_INCOME_STATEMENT'!G5*'04_DRIVERS'!$B$28</f>
        <v>3265.1457777000005</v>
      </c>
      <c r="H15" s="66">
        <f>'05_INCOME_STATEMENT'!H5*'04_DRIVERS'!$B$28</f>
        <v>3461.0545243620004</v>
      </c>
      <c r="I15" s="66">
        <f>'05_INCOME_STATEMENT'!I5*'04_DRIVERS'!$B$28</f>
        <v>3651.4125232019101</v>
      </c>
    </row>
    <row r="16" spans="1:9">
      <c r="A16" t="s">
        <v>101</v>
      </c>
      <c r="B16" s="70">
        <f>'03_HIST_FS'!B46</f>
        <v>10379</v>
      </c>
      <c r="C16" s="70">
        <f>'03_HIST_FS'!C46</f>
        <v>14332</v>
      </c>
      <c r="D16" s="70">
        <f>'03_HIST_FS'!D46</f>
        <v>7485</v>
      </c>
      <c r="E16" s="66">
        <f>SUM(E12:E15)</f>
        <v>8083.4781199999998</v>
      </c>
      <c r="F16" s="66">
        <f t="shared" ref="F16:I16" si="4">SUM(F12:F15)</f>
        <v>8614.3215884000019</v>
      </c>
      <c r="G16" s="66">
        <f t="shared" si="4"/>
        <v>9141.7524916460025</v>
      </c>
      <c r="H16" s="66">
        <f t="shared" si="4"/>
        <v>9660.2576411447608</v>
      </c>
      <c r="I16" s="66">
        <f t="shared" si="4"/>
        <v>10164.071811407723</v>
      </c>
    </row>
    <row r="17" spans="1:10">
      <c r="B17" s="66"/>
      <c r="C17" s="66"/>
      <c r="D17" s="66"/>
      <c r="E17" s="66"/>
      <c r="F17" s="66"/>
      <c r="G17" s="66"/>
      <c r="H17" s="66"/>
      <c r="I17" s="66"/>
    </row>
    <row r="18" spans="1:10">
      <c r="A18" s="25" t="s">
        <v>102</v>
      </c>
      <c r="B18" s="72">
        <f>B10+B16</f>
        <v>98325</v>
      </c>
      <c r="C18" s="72">
        <f t="shared" ref="C18:D18" si="5">C10+C16</f>
        <v>106742</v>
      </c>
      <c r="D18" s="72">
        <f t="shared" si="5"/>
        <v>108281</v>
      </c>
      <c r="E18" s="72">
        <f>E10+E16</f>
        <v>118896.9938972199</v>
      </c>
      <c r="F18" s="72">
        <f t="shared" ref="F18:I18" si="6">F10+F16</f>
        <v>129935.11019014125</v>
      </c>
      <c r="G18" s="72">
        <f t="shared" si="6"/>
        <v>141087.91730425984</v>
      </c>
      <c r="H18" s="72">
        <f t="shared" si="6"/>
        <v>152168.52027083174</v>
      </c>
      <c r="I18" s="72">
        <f t="shared" si="6"/>
        <v>163174.94078188454</v>
      </c>
    </row>
    <row r="19" spans="1:10">
      <c r="B19" s="66"/>
      <c r="C19" s="66"/>
      <c r="D19" s="66"/>
      <c r="E19" s="66"/>
      <c r="F19" s="66"/>
      <c r="G19" s="66"/>
      <c r="H19" s="66"/>
      <c r="I19" s="66"/>
    </row>
    <row r="20" spans="1:10">
      <c r="A20" s="25" t="s">
        <v>113</v>
      </c>
      <c r="B20" s="66"/>
      <c r="C20" s="66"/>
      <c r="D20" s="66"/>
      <c r="E20" s="66"/>
      <c r="F20" s="66"/>
      <c r="G20" s="66"/>
      <c r="H20" s="66"/>
      <c r="I20" s="66"/>
    </row>
    <row r="21" spans="1:10">
      <c r="A21" t="s">
        <v>263</v>
      </c>
      <c r="B21" s="76">
        <v>47072</v>
      </c>
      <c r="C21" s="76">
        <v>47539</v>
      </c>
      <c r="D21" s="76">
        <v>46755</v>
      </c>
      <c r="E21" s="66">
        <f>'09_DEBT'!C9</f>
        <v>53640.430827373493</v>
      </c>
      <c r="F21" s="66">
        <f>'09_DEBT'!D9</f>
        <v>60851.988860719663</v>
      </c>
      <c r="G21" s="66">
        <f>'09_DEBT'!E9</f>
        <v>68111.84747862161</v>
      </c>
      <c r="H21" s="66">
        <f>'09_DEBT'!F9</f>
        <v>75238.520642280419</v>
      </c>
      <c r="I21" s="66">
        <f>'09_DEBT'!G9</f>
        <v>82236.157282905828</v>
      </c>
    </row>
    <row r="22" spans="1:10">
      <c r="A22" t="s">
        <v>106</v>
      </c>
      <c r="B22" s="76">
        <v>4076</v>
      </c>
      <c r="C22" s="76">
        <v>4472</v>
      </c>
      <c r="D22" s="76">
        <v>5049</v>
      </c>
      <c r="E22" s="66">
        <f>'05_INCOME_STATEMENT'!E5*'04_DRIVERS'!$B$27</f>
        <v>5444.0586000000003</v>
      </c>
      <c r="F22" s="66">
        <f>'05_INCOME_STATEMENT'!F5*'04_DRIVERS'!$B$27</f>
        <v>5825.142702000001</v>
      </c>
      <c r="G22" s="66">
        <f>'05_INCOME_STATEMENT'!G5*'04_DRIVERS'!$B$27</f>
        <v>6203.7769776300001</v>
      </c>
      <c r="H22" s="66">
        <f>'05_INCOME_STATEMENT'!H5*'04_DRIVERS'!$B$27</f>
        <v>6576.0035962878001</v>
      </c>
      <c r="I22" s="66">
        <f>'05_INCOME_STATEMENT'!I5*'04_DRIVERS'!$B$27</f>
        <v>6937.6837940836285</v>
      </c>
    </row>
    <row r="23" spans="1:10">
      <c r="A23" t="s">
        <v>264</v>
      </c>
      <c r="B23" s="76">
        <v>2246</v>
      </c>
      <c r="C23" s="76">
        <v>2514</v>
      </c>
      <c r="D23" s="76">
        <v>2809</v>
      </c>
      <c r="E23" s="66">
        <f>D23*(1+'04_DRIVERS'!$B$31)</f>
        <v>3005.63</v>
      </c>
      <c r="F23" s="66">
        <f>E23*(1+'04_DRIVERS'!$B$31)</f>
        <v>3216.0241000000001</v>
      </c>
      <c r="G23" s="66">
        <f>F23*(1+'04_DRIVERS'!$B$31)</f>
        <v>3441.1457870000004</v>
      </c>
      <c r="H23" s="66">
        <f>G23*(1+'04_DRIVERS'!$B$31)</f>
        <v>3682.0259920900007</v>
      </c>
      <c r="I23" s="66">
        <f>H23*(1+'04_DRIVERS'!$B$31)</f>
        <v>3939.767811536301</v>
      </c>
    </row>
    <row r="24" spans="1:10">
      <c r="A24" t="s">
        <v>120</v>
      </c>
      <c r="B24" s="76">
        <v>7519</v>
      </c>
      <c r="C24" s="76">
        <v>8038</v>
      </c>
      <c r="D24" s="76">
        <v>9040</v>
      </c>
      <c r="E24" s="66">
        <f>E8*'04_DRIVERS'!$B$32</f>
        <v>10105.94680127141</v>
      </c>
      <c r="F24" s="66">
        <f>F8*'04_DRIVERS'!$B$32</f>
        <v>11214.800762293278</v>
      </c>
      <c r="G24" s="66">
        <f>G8*'04_DRIVERS'!$B$32</f>
        <v>12333.891533075135</v>
      </c>
      <c r="H24" s="66">
        <f>H8*'04_DRIVERS'!$B$32</f>
        <v>13442.942102714005</v>
      </c>
      <c r="I24" s="66">
        <f>I8*'04_DRIVERS'!$B$32</f>
        <v>14542.222004082616</v>
      </c>
    </row>
    <row r="25" spans="1:10">
      <c r="A25" t="s">
        <v>265</v>
      </c>
      <c r="B25" s="76">
        <v>3702</v>
      </c>
      <c r="C25" s="76">
        <v>3622</v>
      </c>
      <c r="D25" s="76">
        <v>3121</v>
      </c>
      <c r="E25" s="66">
        <f>D25*(1+'04_DRIVERS'!$B$33)</f>
        <v>3183.42</v>
      </c>
      <c r="F25" s="66">
        <f>E25*(1+'04_DRIVERS'!$B$33)</f>
        <v>3247.0884000000001</v>
      </c>
      <c r="G25" s="66">
        <f>F25*(1+'04_DRIVERS'!$B$33)</f>
        <v>3312.0301680000002</v>
      </c>
      <c r="H25" s="66">
        <f>G25*(1+'04_DRIVERS'!$B$33)</f>
        <v>3378.2707713600003</v>
      </c>
      <c r="I25" s="66">
        <f>H25*(1+'04_DRIVERS'!$B$33)</f>
        <v>3445.8361867872004</v>
      </c>
    </row>
    <row r="26" spans="1:10">
      <c r="A26" t="s">
        <v>266</v>
      </c>
      <c r="B26" s="76">
        <v>3818</v>
      </c>
      <c r="C26" s="76">
        <v>2731</v>
      </c>
      <c r="D26" s="76">
        <v>2177</v>
      </c>
      <c r="E26" s="66">
        <f>'05_INCOME_STATEMENT'!E5*'04_DRIVERS'!$B$34</f>
        <v>2349.5410800000004</v>
      </c>
      <c r="F26" s="66">
        <f>'05_INCOME_STATEMENT'!F5*'04_DRIVERS'!$B$34</f>
        <v>2514.0089556000003</v>
      </c>
      <c r="G26" s="66">
        <f>'05_INCOME_STATEMENT'!G5*'04_DRIVERS'!$B$34</f>
        <v>2677.4195377140004</v>
      </c>
      <c r="H26" s="66">
        <f>'05_INCOME_STATEMENT'!H5*'04_DRIVERS'!$B$34</f>
        <v>2838.0647099768403</v>
      </c>
      <c r="I26" s="66">
        <f>'05_INCOME_STATEMENT'!I5*'04_DRIVERS'!$B$34</f>
        <v>2994.1582690255664</v>
      </c>
      <c r="J26" s="20"/>
    </row>
    <row r="27" spans="1:10">
      <c r="A27" s="25" t="s">
        <v>124</v>
      </c>
      <c r="B27" s="66">
        <f>SUM(B20:B26)</f>
        <v>68433</v>
      </c>
      <c r="C27" s="66">
        <f t="shared" ref="C27:D27" si="7">SUM(C20:C26)</f>
        <v>68916</v>
      </c>
      <c r="D27" s="66">
        <f t="shared" si="7"/>
        <v>68951</v>
      </c>
      <c r="E27" s="66">
        <f>SUM(E21:E26)</f>
        <v>77729.027308644901</v>
      </c>
      <c r="F27" s="66">
        <f t="shared" ref="F27:I27" si="8">SUM(F21:F26)</f>
        <v>86869.053780612929</v>
      </c>
      <c r="G27" s="66">
        <f t="shared" si="8"/>
        <v>96080.111482040738</v>
      </c>
      <c r="H27" s="66">
        <f t="shared" si="8"/>
        <v>105155.82781470906</v>
      </c>
      <c r="I27" s="66">
        <f t="shared" si="8"/>
        <v>114095.82534842113</v>
      </c>
    </row>
    <row r="28" spans="1:10">
      <c r="B28" s="66"/>
      <c r="C28" s="66"/>
      <c r="D28" s="66"/>
      <c r="E28" s="66"/>
      <c r="F28" s="66"/>
      <c r="G28" s="66"/>
      <c r="H28" s="66"/>
      <c r="I28" s="66"/>
    </row>
    <row r="29" spans="1:10">
      <c r="A29" s="25" t="s">
        <v>126</v>
      </c>
      <c r="B29" s="66"/>
      <c r="C29" s="66"/>
      <c r="D29" s="66"/>
      <c r="E29" s="66"/>
      <c r="F29" s="66"/>
      <c r="G29" s="66"/>
      <c r="H29" s="66"/>
      <c r="I29" s="66"/>
    </row>
    <row r="30" spans="1:10">
      <c r="A30" t="s">
        <v>267</v>
      </c>
      <c r="B30" s="66"/>
      <c r="C30" s="66">
        <f>B34</f>
        <v>29892</v>
      </c>
      <c r="D30" s="66">
        <f>C34</f>
        <v>37826</v>
      </c>
      <c r="E30" s="66">
        <f>D34</f>
        <v>39330</v>
      </c>
      <c r="F30" s="66">
        <f t="shared" ref="F30:I30" si="9">E34</f>
        <v>41167.966588575</v>
      </c>
      <c r="G30" s="66">
        <f t="shared" si="9"/>
        <v>43066.05640952829</v>
      </c>
      <c r="H30" s="66">
        <f t="shared" si="9"/>
        <v>45007.805822219088</v>
      </c>
      <c r="I30" s="66">
        <f t="shared" si="9"/>
        <v>47012.692456122684</v>
      </c>
    </row>
    <row r="31" spans="1:10">
      <c r="A31" t="s">
        <v>234</v>
      </c>
      <c r="B31" s="66"/>
      <c r="C31" s="66">
        <f>'05_INCOME_STATEMENT'!C19</f>
        <v>2829</v>
      </c>
      <c r="D31" s="66">
        <f>'05_INCOME_STATEMENT'!D19</f>
        <v>3243</v>
      </c>
      <c r="E31" s="66">
        <f>'05_INCOME_STATEMENT'!E19</f>
        <v>3675.933177150001</v>
      </c>
      <c r="F31" s="66">
        <f>'05_INCOME_STATEMENT'!F19</f>
        <v>3796.1796419065713</v>
      </c>
      <c r="G31" s="66">
        <f>'05_INCOME_STATEMENT'!G19</f>
        <v>3883.4988253815891</v>
      </c>
      <c r="H31" s="66">
        <f>'05_INCOME_STATEMENT'!H19</f>
        <v>4009.7732678071952</v>
      </c>
      <c r="I31" s="66">
        <f>'05_INCOME_STATEMENT'!I19</f>
        <v>4132.8459546815066</v>
      </c>
    </row>
    <row r="32" spans="1:10">
      <c r="A32" t="s">
        <v>268</v>
      </c>
      <c r="B32" s="66"/>
      <c r="C32" s="66">
        <f>-1529</f>
        <v>-1529</v>
      </c>
      <c r="D32" s="66">
        <f>-1623</f>
        <v>-1623</v>
      </c>
      <c r="E32" s="66">
        <f>-E31*'04_DRIVERS'!$B$35</f>
        <v>-1837.9665885750005</v>
      </c>
      <c r="F32" s="66">
        <f>-F31*'04_DRIVERS'!$B$35</f>
        <v>-1898.0898209532857</v>
      </c>
      <c r="G32" s="66">
        <f>-G31*'04_DRIVERS'!$B$35</f>
        <v>-1941.7494126907945</v>
      </c>
      <c r="H32" s="66">
        <f>-H31*'04_DRIVERS'!$B$35</f>
        <v>-2004.8866339035976</v>
      </c>
      <c r="I32" s="66">
        <f>-I31*'04_DRIVERS'!$B$35</f>
        <v>-2066.4229773407533</v>
      </c>
    </row>
    <row r="33" spans="1:9">
      <c r="A33" t="s">
        <v>269</v>
      </c>
      <c r="B33" s="66"/>
      <c r="C33" s="66">
        <f>C34-C30-C31-C32</f>
        <v>6634</v>
      </c>
      <c r="D33" s="66">
        <f>D34-D30-D31-D32</f>
        <v>-116</v>
      </c>
      <c r="E33" s="66">
        <f>0</f>
        <v>0</v>
      </c>
      <c r="F33" s="66">
        <f>0</f>
        <v>0</v>
      </c>
      <c r="G33" s="66">
        <f>0</f>
        <v>0</v>
      </c>
      <c r="H33" s="66">
        <f>0</f>
        <v>0</v>
      </c>
      <c r="I33" s="66">
        <f>0</f>
        <v>0</v>
      </c>
    </row>
    <row r="34" spans="1:9">
      <c r="A34" t="s">
        <v>270</v>
      </c>
      <c r="B34" s="76">
        <f>29892</f>
        <v>29892</v>
      </c>
      <c r="C34" s="66">
        <f>37826</f>
        <v>37826</v>
      </c>
      <c r="D34" s="66">
        <v>39330</v>
      </c>
      <c r="E34" s="66">
        <f>SUM(E30:E33)</f>
        <v>41167.966588575</v>
      </c>
      <c r="F34" s="66">
        <f t="shared" ref="F34:I34" si="10">SUM(F30:F33)</f>
        <v>43066.05640952829</v>
      </c>
      <c r="G34" s="66">
        <f t="shared" si="10"/>
        <v>45007.805822219088</v>
      </c>
      <c r="H34" s="66">
        <f t="shared" si="10"/>
        <v>47012.692456122684</v>
      </c>
      <c r="I34" s="66">
        <f t="shared" si="10"/>
        <v>49079.115433463434</v>
      </c>
    </row>
    <row r="35" spans="1:9">
      <c r="B35" s="66"/>
      <c r="C35" s="66"/>
      <c r="D35" s="66"/>
      <c r="E35" s="66"/>
      <c r="F35" s="66"/>
      <c r="G35" s="66"/>
      <c r="H35" s="66"/>
      <c r="I35" s="66"/>
    </row>
    <row r="36" spans="1:9">
      <c r="A36" s="25" t="s">
        <v>271</v>
      </c>
      <c r="B36" s="72">
        <f>B27+B34</f>
        <v>98325</v>
      </c>
      <c r="C36" s="72">
        <f t="shared" ref="C36:D36" si="11">C27+C34</f>
        <v>106742</v>
      </c>
      <c r="D36" s="72">
        <f t="shared" si="11"/>
        <v>108281</v>
      </c>
      <c r="E36" s="72">
        <f>E27+E34</f>
        <v>118896.9938972199</v>
      </c>
      <c r="F36" s="72">
        <f t="shared" ref="F36:I36" si="12">F27+F34</f>
        <v>129935.11019014122</v>
      </c>
      <c r="G36" s="72">
        <f t="shared" si="12"/>
        <v>141087.91730425984</v>
      </c>
      <c r="H36" s="72">
        <f t="shared" si="12"/>
        <v>152168.52027083174</v>
      </c>
      <c r="I36" s="72">
        <f t="shared" si="12"/>
        <v>163174.94078188456</v>
      </c>
    </row>
    <row r="37" spans="1:9">
      <c r="B37" s="66"/>
      <c r="C37" s="66"/>
      <c r="D37" s="66"/>
      <c r="E37" s="66"/>
      <c r="F37" s="66"/>
      <c r="G37" s="66"/>
      <c r="H37" s="66"/>
      <c r="I37" s="66"/>
    </row>
    <row r="38" spans="1:9">
      <c r="A38" s="25" t="s">
        <v>272</v>
      </c>
      <c r="B38" s="72">
        <f>B18-B36</f>
        <v>0</v>
      </c>
      <c r="C38" s="72">
        <f t="shared" ref="C38:I38" si="13">C18-C36</f>
        <v>0</v>
      </c>
      <c r="D38" s="72">
        <f t="shared" si="13"/>
        <v>0</v>
      </c>
      <c r="E38" s="72">
        <f t="shared" si="13"/>
        <v>0</v>
      </c>
      <c r="F38" s="72">
        <f t="shared" si="13"/>
        <v>0</v>
      </c>
      <c r="G38" s="72">
        <f t="shared" si="13"/>
        <v>0</v>
      </c>
      <c r="H38" s="72">
        <f t="shared" si="13"/>
        <v>0</v>
      </c>
      <c r="I38" s="72">
        <f t="shared" si="13"/>
        <v>0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B683-EAE4-6643-98EF-8BFB89DFE6D9}">
  <dimension ref="A1:I26"/>
  <sheetViews>
    <sheetView tabSelected="1" zoomScale="87" workbookViewId="0">
      <selection activeCell="E22" sqref="E22"/>
    </sheetView>
  </sheetViews>
  <sheetFormatPr baseColWidth="10" defaultRowHeight="16"/>
  <cols>
    <col min="1" max="1" width="40.6640625" customWidth="1"/>
  </cols>
  <sheetData>
    <row r="1" spans="1:9">
      <c r="A1" s="15" t="s">
        <v>287</v>
      </c>
      <c r="B1" s="15"/>
      <c r="C1" s="15"/>
      <c r="D1" s="15"/>
      <c r="E1" s="15"/>
      <c r="F1" s="15"/>
      <c r="G1" s="15"/>
      <c r="H1" s="15"/>
      <c r="I1" s="15"/>
    </row>
    <row r="3" spans="1:9">
      <c r="A3" s="21" t="s">
        <v>288</v>
      </c>
      <c r="B3" s="25" t="s">
        <v>65</v>
      </c>
      <c r="C3" s="25" t="s">
        <v>66</v>
      </c>
      <c r="D3" s="25" t="s">
        <v>67</v>
      </c>
      <c r="E3" s="25" t="s">
        <v>215</v>
      </c>
      <c r="F3" s="25" t="s">
        <v>216</v>
      </c>
      <c r="G3" s="25" t="s">
        <v>217</v>
      </c>
      <c r="H3" s="25" t="s">
        <v>218</v>
      </c>
      <c r="I3" s="25" t="s">
        <v>219</v>
      </c>
    </row>
    <row r="4" spans="1:9">
      <c r="A4" t="s">
        <v>72</v>
      </c>
      <c r="B4" s="79">
        <v>4475</v>
      </c>
      <c r="C4" s="79">
        <v>4934</v>
      </c>
      <c r="D4" s="79">
        <v>5431</v>
      </c>
      <c r="E4" s="66">
        <f>'05_INCOME_STATEMENT'!E8</f>
        <v>6074.4232800000009</v>
      </c>
      <c r="F4" s="66">
        <f>'05_INCOME_STATEMENT'!F8</f>
        <v>6540.5111040000011</v>
      </c>
      <c r="G4" s="66">
        <f>'05_INCOME_STATEMENT'!G8</f>
        <v>6987.4119642780015</v>
      </c>
      <c r="H4" s="66">
        <f>'05_INCOME_STATEMENT'!H8</f>
        <v>7429.7303789637608</v>
      </c>
      <c r="I4" s="66">
        <f>'05_INCOME_STATEMENT'!I8</f>
        <v>7862.7082999614468</v>
      </c>
    </row>
    <row r="5" spans="1:9">
      <c r="A5" t="s">
        <v>295</v>
      </c>
      <c r="B5" s="79">
        <v>2061</v>
      </c>
      <c r="C5" s="79">
        <v>2175</v>
      </c>
      <c r="D5" s="79">
        <v>2247</v>
      </c>
      <c r="E5" s="66">
        <f>'08_CAPEX_PPE'!C7+'06_BALANCE_SHEET'!D7*'04_DRIVERS'!$B$38</f>
        <v>2459.964222780095</v>
      </c>
      <c r="F5" s="66">
        <f>'08_CAPEX_PPE'!D7+'06_BALANCE_SHEET'!E7*'04_DRIVERS'!$B$38</f>
        <v>2729.2311754786733</v>
      </c>
      <c r="G5" s="66">
        <f>'08_CAPEX_PPE'!E7+'06_BALANCE_SHEET'!F7*'04_DRIVERS'!$B$38</f>
        <v>3011.6629891274019</v>
      </c>
      <c r="H5" s="66">
        <f>'08_CAPEX_PPE'!F7+'06_BALANCE_SHEET'!G7*'04_DRIVERS'!$B$38</f>
        <v>3297.2833429268426</v>
      </c>
      <c r="I5" s="66">
        <f>'08_CAPEX_PPE'!G7+'06_BALANCE_SHEET'!H7*'04_DRIVERS'!$B$38</f>
        <v>3581.2238772101382</v>
      </c>
    </row>
    <row r="6" spans="1:9">
      <c r="A6" t="s">
        <v>296</v>
      </c>
      <c r="B6" s="79">
        <v>-49</v>
      </c>
      <c r="C6" s="79">
        <v>104</v>
      </c>
      <c r="D6" s="79">
        <v>759</v>
      </c>
      <c r="E6" s="66">
        <f>-('06_BALANCE_SHEET'!E12-'06_BALANCE_SHEET'!D12)-('06_BALANCE_SHEET'!E13-'06_BALANCE_SHEET'!D13)+('06_BALANCE_SHEET'!E22-'06_BALANCE_SHEET'!D22)+('06_BALANCE_SHEET'!E23-'06_BALANCE_SHEET'!D23)</f>
        <v>299.50448000000017</v>
      </c>
      <c r="F6" s="66">
        <f>-('06_BALANCE_SHEET'!F12-'06_BALANCE_SHEET'!E12)-('06_BALANCE_SHEET'!F13-'06_BALANCE_SHEET'!E13)+('06_BALANCE_SHEET'!F22-'06_BALANCE_SHEET'!E22)+('06_BALANCE_SHEET'!F23-'06_BALANCE_SHEET'!E23)</f>
        <v>261.20531359999995</v>
      </c>
      <c r="G6" s="66">
        <f>-('06_BALANCE_SHEET'!G12-'06_BALANCE_SHEET'!F12)-('06_BALANCE_SHEET'!G13-'06_BALANCE_SHEET'!F13)+('06_BALANCE_SHEET'!G22-'06_BALANCE_SHEET'!F22)+('06_BALANCE_SHEET'!G23-'06_BALANCE_SHEET'!F23)</f>
        <v>275.60625708399959</v>
      </c>
      <c r="H6" s="66">
        <f>-('06_BALANCE_SHEET'!H12-'06_BALANCE_SHEET'!G12)-('06_BALANCE_SHEET'!H13-'06_BALANCE_SHEET'!G13)+('06_BALANCE_SHEET'!H22-'06_BALANCE_SHEET'!G22)+('06_BALANCE_SHEET'!H23-'06_BALANCE_SHEET'!G23)</f>
        <v>290.51042091104034</v>
      </c>
      <c r="I6" s="66">
        <f>-('06_BALANCE_SHEET'!I12-'06_BALANCE_SHEET'!H12)-('06_BALANCE_SHEET'!I13-'06_BALANCE_SHEET'!H13)+('06_BALANCE_SHEET'!I22-'06_BALANCE_SHEET'!H22)+('06_BALANCE_SHEET'!I23-'06_BALANCE_SHEET'!H23)</f>
        <v>305.96584581907757</v>
      </c>
    </row>
    <row r="7" spans="1:9">
      <c r="A7" t="s">
        <v>297</v>
      </c>
      <c r="B7" s="79">
        <v>-123</v>
      </c>
      <c r="C7" s="79">
        <v>-80</v>
      </c>
      <c r="D7" s="79">
        <v>-158</v>
      </c>
      <c r="E7" s="66">
        <f>'06_BALANCE_SHEET'!E25-'06_BALANCE_SHEET'!D25</f>
        <v>62.420000000000073</v>
      </c>
      <c r="F7" s="66">
        <f>'06_BALANCE_SHEET'!F25-'06_BALANCE_SHEET'!E25</f>
        <v>63.66840000000002</v>
      </c>
      <c r="G7" s="66">
        <f>'06_BALANCE_SHEET'!G25-'06_BALANCE_SHEET'!F25</f>
        <v>64.941768000000138</v>
      </c>
      <c r="H7" s="66">
        <f>'06_BALANCE_SHEET'!H25-'06_BALANCE_SHEET'!G25</f>
        <v>66.240603360000023</v>
      </c>
      <c r="I7" s="66">
        <f>'06_BALANCE_SHEET'!I25-'06_BALANCE_SHEET'!H25</f>
        <v>67.565415427200151</v>
      </c>
    </row>
    <row r="8" spans="1:9">
      <c r="A8" t="s">
        <v>293</v>
      </c>
      <c r="B8" s="79">
        <v>917</v>
      </c>
      <c r="C8" s="79">
        <v>-142</v>
      </c>
      <c r="D8" s="79">
        <v>-418</v>
      </c>
      <c r="E8" s="66">
        <f>'05_INCOME_STATEMENT'!E11+'05_INCOME_STATEMENT'!E13+('06_BALANCE_SHEET'!E24-'06_BALANCE_SHEET'!D24)+('06_BALANCE_SHEET'!E26-'06_BALANCE_SHEET'!D26)</f>
        <v>1696.76788127141</v>
      </c>
      <c r="F8" s="66">
        <f>'05_INCOME_STATEMENT'!F11+'05_INCOME_STATEMENT'!F13+('06_BALANCE_SHEET'!F24-'06_BALANCE_SHEET'!E24)+('06_BALANCE_SHEET'!F26-'06_BALANCE_SHEET'!E26)</f>
        <v>1733.9502366218685</v>
      </c>
      <c r="G8" s="66">
        <f>'05_INCOME_STATEMENT'!G11+'05_INCOME_STATEMENT'!G13+('06_BALANCE_SHEET'!G24-'06_BALANCE_SHEET'!F24)+('06_BALANCE_SHEET'!G26-'06_BALANCE_SHEET'!F26)</f>
        <v>1745.5486048958571</v>
      </c>
      <c r="H8" s="66">
        <f>'05_INCOME_STATEMENT'!H11+'05_INCOME_STATEMENT'!H13+('06_BALANCE_SHEET'!H24-'06_BALANCE_SHEET'!G24)+('06_BALANCE_SHEET'!H26-'06_BALANCE_SHEET'!G26)</f>
        <v>1735.2344114617099</v>
      </c>
      <c r="I8" s="66">
        <f>'05_INCOME_STATEMENT'!I11+'05_INCOME_STATEMENT'!I13+('06_BALANCE_SHEET'!I24-'06_BALANCE_SHEET'!H24)+('06_BALANCE_SHEET'!I26-'06_BALANCE_SHEET'!H26)</f>
        <v>1723.4782900641369</v>
      </c>
    </row>
    <row r="9" spans="1:9">
      <c r="A9" s="21" t="s">
        <v>146</v>
      </c>
      <c r="B9" s="80">
        <v>7281</v>
      </c>
      <c r="C9" s="80">
        <v>6991</v>
      </c>
      <c r="D9" s="80">
        <v>7861</v>
      </c>
      <c r="E9" s="66">
        <f>SUM(E4:E8)</f>
        <v>10593.079864051506</v>
      </c>
      <c r="F9" s="66">
        <f t="shared" ref="F9:I9" si="0">SUM(F4:F8)</f>
        <v>11328.566229700544</v>
      </c>
      <c r="G9" s="66">
        <f t="shared" si="0"/>
        <v>12085.171583385261</v>
      </c>
      <c r="H9" s="66">
        <f t="shared" si="0"/>
        <v>12818.999157623353</v>
      </c>
      <c r="I9" s="66">
        <f t="shared" si="0"/>
        <v>13540.941728481997</v>
      </c>
    </row>
    <row r="10" spans="1:9">
      <c r="A10" t="s">
        <v>147</v>
      </c>
      <c r="B10" s="79">
        <v>-342</v>
      </c>
      <c r="C10" s="79">
        <v>-183</v>
      </c>
      <c r="D10" s="79">
        <v>-32</v>
      </c>
      <c r="E10" s="66">
        <f>'05_INCOME_STATEMENT'!E17</f>
        <v>-1036.8016653500001</v>
      </c>
      <c r="F10" s="66">
        <f>'05_INCOME_STATEMENT'!F17</f>
        <v>-1070.7173348967253</v>
      </c>
      <c r="G10" s="66">
        <f>'05_INCOME_STATEMENT'!G17</f>
        <v>-1095.3458225435252</v>
      </c>
      <c r="H10" s="66">
        <f>'05_INCOME_STATEMENT'!H17</f>
        <v>-1130.9616909199783</v>
      </c>
      <c r="I10" s="66">
        <f>'05_INCOME_STATEMENT'!I17</f>
        <v>-1165.6745000383737</v>
      </c>
    </row>
    <row r="11" spans="1:9">
      <c r="A11" s="21" t="s">
        <v>298</v>
      </c>
      <c r="B11" s="80">
        <v>6939</v>
      </c>
      <c r="C11" s="80">
        <v>6808</v>
      </c>
      <c r="D11" s="80">
        <v>7829</v>
      </c>
      <c r="E11" s="66">
        <f>E9+E10</f>
        <v>9556.278198701506</v>
      </c>
      <c r="F11" s="66">
        <f t="shared" ref="F11:I11" si="1">F9+F10</f>
        <v>10257.848894803818</v>
      </c>
      <c r="G11" s="66">
        <f t="shared" si="1"/>
        <v>10989.825760841737</v>
      </c>
      <c r="H11" s="66">
        <f t="shared" si="1"/>
        <v>11688.037466703376</v>
      </c>
      <c r="I11" s="66">
        <f t="shared" si="1"/>
        <v>12375.267228443623</v>
      </c>
    </row>
    <row r="12" spans="1:9">
      <c r="A12" t="s">
        <v>150</v>
      </c>
      <c r="B12" s="79">
        <v>-549</v>
      </c>
      <c r="C12" s="79">
        <v>-526</v>
      </c>
      <c r="D12" s="79">
        <v>-586</v>
      </c>
      <c r="E12" s="66">
        <f>-(('06_BALANCE_SHEET'!E7-'06_BALANCE_SHEET'!D7)+('06_BALANCE_SHEET'!D7*'04_DRIVERS'!$B$38))</f>
        <v>-465.4800000000003</v>
      </c>
      <c r="F12" s="66">
        <f>-(('06_BALANCE_SHEET'!F7-'06_BALANCE_SHEET'!E7)+('06_BALANCE_SHEET'!E7*'04_DRIVERS'!$B$38))</f>
        <v>-488.75400000000053</v>
      </c>
      <c r="G12" s="66">
        <f>-(('06_BALANCE_SHEET'!G7-'06_BALANCE_SHEET'!F7)+('06_BALANCE_SHEET'!F7*'04_DRIVERS'!$B$38))</f>
        <v>-513.19170000000042</v>
      </c>
      <c r="H12" s="66">
        <f>-(('06_BALANCE_SHEET'!H7-'06_BALANCE_SHEET'!G7)+('06_BALANCE_SHEET'!G7*'04_DRIVERS'!$B$38))</f>
        <v>-538.85128500000008</v>
      </c>
      <c r="I12" s="66">
        <f>-(('06_BALANCE_SHEET'!I7-'06_BALANCE_SHEET'!H7)+('06_BALANCE_SHEET'!H7*'04_DRIVERS'!$B$38))</f>
        <v>-565.79384925000068</v>
      </c>
    </row>
    <row r="13" spans="1:9">
      <c r="A13" t="s">
        <v>299</v>
      </c>
      <c r="B13" s="79">
        <v>-6904</v>
      </c>
      <c r="C13" s="79">
        <v>-8780</v>
      </c>
      <c r="D13" s="79">
        <v>-9989</v>
      </c>
      <c r="E13" s="66">
        <f>-'08_CAPEX_PPE'!C6</f>
        <v>-11712.999999999998</v>
      </c>
      <c r="F13" s="66">
        <f>-'08_CAPEX_PPE'!D6</f>
        <v>-12433.8</v>
      </c>
      <c r="G13" s="66">
        <f>-'08_CAPEX_PPE'!E6</f>
        <v>-12794.199999999999</v>
      </c>
      <c r="H13" s="66">
        <f>-'08_CAPEX_PPE'!F6</f>
        <v>-12974.4</v>
      </c>
      <c r="I13" s="66">
        <f>-'08_CAPEX_PPE'!G6</f>
        <v>-13154.599999999999</v>
      </c>
    </row>
    <row r="14" spans="1:9">
      <c r="A14" t="s">
        <v>294</v>
      </c>
      <c r="B14" s="79">
        <v>-148</v>
      </c>
      <c r="C14" s="79">
        <v>-1287</v>
      </c>
      <c r="D14" s="79">
        <v>6418</v>
      </c>
      <c r="E14" s="66">
        <f>-('06_BALANCE_SHEET'!E9-'06_BALANCE_SHEET'!D9)-('06_BALANCE_SHEET'!E15-'06_BALANCE_SHEET'!D15)</f>
        <v>-480.29400000000032</v>
      </c>
      <c r="F14" s="66">
        <f>-('06_BALANCE_SHEET'!F9-'06_BALANCE_SHEET'!E9)-('06_BALANCE_SHEET'!F15-'06_BALANCE_SHEET'!E15)</f>
        <v>-514.52058000000079</v>
      </c>
      <c r="G14" s="66">
        <f>-('06_BALANCE_SHEET'!G9-'06_BALANCE_SHEET'!F9)-('06_BALANCE_SHEET'!G15-'06_BALANCE_SHEET'!F15)</f>
        <v>-528.92869770000016</v>
      </c>
      <c r="H14" s="66">
        <f>-('06_BALANCE_SHEET'!H9-'06_BALANCE_SHEET'!G9)-('06_BALANCE_SHEET'!H15-'06_BALANCE_SHEET'!G15)</f>
        <v>-542.03862166200042</v>
      </c>
      <c r="I14" s="66">
        <f>-('06_BALANCE_SHEET'!I9-'06_BALANCE_SHEET'!H9)-('06_BALANCE_SHEET'!I15-'06_BALANCE_SHEET'!H15)</f>
        <v>-553.79436758991051</v>
      </c>
    </row>
    <row r="15" spans="1:9">
      <c r="A15" s="21" t="s">
        <v>289</v>
      </c>
      <c r="B15" s="80">
        <v>-7601</v>
      </c>
      <c r="C15" s="80">
        <v>-10593</v>
      </c>
      <c r="D15" s="80">
        <v>-4157</v>
      </c>
      <c r="E15" s="66">
        <f>SUM(E12:E14)</f>
        <v>-12658.773999999998</v>
      </c>
      <c r="F15" s="66">
        <f t="shared" ref="F15:I15" si="2">SUM(F12:F14)</f>
        <v>-13437.07458</v>
      </c>
      <c r="G15" s="66">
        <f t="shared" si="2"/>
        <v>-13836.320397700001</v>
      </c>
      <c r="H15" s="66">
        <f t="shared" si="2"/>
        <v>-14055.289906662001</v>
      </c>
      <c r="I15" s="66">
        <f t="shared" si="2"/>
        <v>-14274.18821683991</v>
      </c>
    </row>
    <row r="16" spans="1:9">
      <c r="A16" t="s">
        <v>300</v>
      </c>
      <c r="B16" s="79">
        <v>5563</v>
      </c>
      <c r="C16" s="79">
        <v>3237</v>
      </c>
      <c r="D16" s="79">
        <v>4172</v>
      </c>
      <c r="E16" s="66">
        <f>'09_DEBT'!C6</f>
        <v>5200</v>
      </c>
      <c r="F16" s="66">
        <f>'09_DEBT'!D6</f>
        <v>5520</v>
      </c>
      <c r="G16" s="66">
        <f>'09_DEBT'!E6</f>
        <v>5680</v>
      </c>
      <c r="H16" s="66">
        <f>'09_DEBT'!F6</f>
        <v>5760</v>
      </c>
      <c r="I16" s="66">
        <f>'09_DEBT'!G6</f>
        <v>5840</v>
      </c>
    </row>
    <row r="17" spans="1:9">
      <c r="A17" t="s">
        <v>291</v>
      </c>
      <c r="B17" s="79" t="s">
        <v>301</v>
      </c>
      <c r="C17" s="79" t="s">
        <v>301</v>
      </c>
      <c r="D17" s="79" t="s">
        <v>301</v>
      </c>
      <c r="E17" s="66">
        <f>MAX(0,'04_DRIVERS'!$B$37-(E23+E11+E15+E16+E18+E19+E20+E21+E25))</f>
        <v>4607.6183273734914</v>
      </c>
      <c r="F17" s="66">
        <f>MAX(0,'04_DRIVERS'!$B$37-(F23+F11+F15+F16+F18+F19+F20+F21+F25))</f>
        <v>5044.0849600570164</v>
      </c>
      <c r="G17" s="66">
        <f>MAX(0,'04_DRIVERS'!$B$37-(G23+G11+G15+G16+G18+G19+G20+G21+G25))</f>
        <v>5383.1079216969247</v>
      </c>
      <c r="H17" s="66">
        <f>MAX(0,'04_DRIVERS'!$B$37-(H23+H11+H15+H16+H18+H19+H20+H21+H25))</f>
        <v>5623.6636310726608</v>
      </c>
      <c r="I17" s="66">
        <f>MAX(0,'04_DRIVERS'!$B$37-(I23+I11+I15+I16+I18+I19+I20+I21+I25))</f>
        <v>5860.0441807679326</v>
      </c>
    </row>
    <row r="18" spans="1:9">
      <c r="A18" t="s">
        <v>251</v>
      </c>
      <c r="B18" s="79">
        <v>-1701</v>
      </c>
      <c r="C18" s="79">
        <v>-2861</v>
      </c>
      <c r="D18" s="79">
        <v>-2961</v>
      </c>
      <c r="E18" s="66">
        <f>-'09_DEBT'!C7</f>
        <v>-2922.1875</v>
      </c>
      <c r="F18" s="66">
        <f>-'09_DEBT'!D7</f>
        <v>-3352.5269267108433</v>
      </c>
      <c r="G18" s="66">
        <f>-'09_DEBT'!E7</f>
        <v>-3803.2493037949789</v>
      </c>
      <c r="H18" s="66">
        <f>-'09_DEBT'!F7</f>
        <v>-4256.9904674138506</v>
      </c>
      <c r="I18" s="66">
        <f>-'09_DEBT'!G7</f>
        <v>-4702.4075401425262</v>
      </c>
    </row>
    <row r="19" spans="1:9">
      <c r="A19" t="s">
        <v>168</v>
      </c>
      <c r="B19" s="79">
        <v>-1627</v>
      </c>
      <c r="C19" s="79">
        <v>-1920</v>
      </c>
      <c r="D19" s="79">
        <v>-1932</v>
      </c>
      <c r="E19" s="66">
        <f>-'09_DEBT'!C13</f>
        <v>-1819.9684374999999</v>
      </c>
      <c r="F19" s="66">
        <f>-'09_DEBT'!D13</f>
        <v>-2134.2425271967045</v>
      </c>
      <c r="G19" s="66">
        <f>-'09_DEBT'!E13</f>
        <v>-2471.6145683528871</v>
      </c>
      <c r="H19" s="66">
        <f>-'09_DEBT'!F13</f>
        <v>-2754.5340897965875</v>
      </c>
      <c r="I19" s="66">
        <f>-'09_DEBT'!G13</f>
        <v>-3032.2926748883665</v>
      </c>
    </row>
    <row r="20" spans="1:9">
      <c r="A20" t="s">
        <v>302</v>
      </c>
      <c r="B20" s="79">
        <v>-1718</v>
      </c>
      <c r="C20" s="79">
        <v>-1529</v>
      </c>
      <c r="D20" s="79">
        <v>-1623</v>
      </c>
      <c r="E20" s="66">
        <f>'06_BALANCE_SHEET'!E32</f>
        <v>-1837.9665885750005</v>
      </c>
      <c r="F20" s="66">
        <f>'06_BALANCE_SHEET'!F32</f>
        <v>-1898.0898209532857</v>
      </c>
      <c r="G20" s="66">
        <f>'06_BALANCE_SHEET'!G32</f>
        <v>-1941.7494126907945</v>
      </c>
      <c r="H20" s="66">
        <f>'06_BALANCE_SHEET'!H32</f>
        <v>-2004.8866339035976</v>
      </c>
      <c r="I20" s="66">
        <f>'06_BALANCE_SHEET'!I32</f>
        <v>-2066.4229773407533</v>
      </c>
    </row>
    <row r="21" spans="1:9">
      <c r="A21" t="s">
        <v>303</v>
      </c>
      <c r="B21" s="79">
        <v>470</v>
      </c>
      <c r="C21" s="79">
        <v>7601</v>
      </c>
      <c r="D21" s="79">
        <v>-2276</v>
      </c>
      <c r="E21" s="66">
        <f>0</f>
        <v>0</v>
      </c>
      <c r="F21" s="66">
        <f>0</f>
        <v>0</v>
      </c>
      <c r="G21" s="66">
        <f>0</f>
        <v>0</v>
      </c>
      <c r="H21" s="66">
        <f>0</f>
        <v>0</v>
      </c>
      <c r="I21" s="66">
        <f>0</f>
        <v>0</v>
      </c>
    </row>
    <row r="22" spans="1:9">
      <c r="A22" s="21" t="s">
        <v>304</v>
      </c>
      <c r="B22" s="80">
        <v>987</v>
      </c>
      <c r="C22" s="80">
        <v>4528</v>
      </c>
      <c r="D22" s="80">
        <v>-4620</v>
      </c>
      <c r="E22" s="66">
        <f>SUM(E16:E21)</f>
        <v>3227.4958012984912</v>
      </c>
      <c r="F22" s="66">
        <f t="shared" ref="F22:I22" si="3">SUM(F16:F21)</f>
        <v>3179.2256851961833</v>
      </c>
      <c r="G22" s="66">
        <f t="shared" si="3"/>
        <v>2846.4946368582646</v>
      </c>
      <c r="H22" s="66">
        <f t="shared" si="3"/>
        <v>2367.2524399586255</v>
      </c>
      <c r="I22" s="66">
        <f t="shared" si="3"/>
        <v>1898.9209883962867</v>
      </c>
    </row>
    <row r="23" spans="1:9">
      <c r="A23" t="s">
        <v>290</v>
      </c>
      <c r="B23" s="79">
        <v>163</v>
      </c>
      <c r="C23" s="79">
        <v>559</v>
      </c>
      <c r="D23" s="79">
        <v>1178</v>
      </c>
      <c r="E23" s="66">
        <f>D26</f>
        <v>375</v>
      </c>
      <c r="F23" s="66">
        <f t="shared" ref="F23:I23" si="4">E26</f>
        <v>499.99999999999955</v>
      </c>
      <c r="G23" s="66">
        <f t="shared" si="4"/>
        <v>499.99999999999955</v>
      </c>
      <c r="H23" s="66">
        <f t="shared" si="4"/>
        <v>499.99999999999955</v>
      </c>
      <c r="I23" s="66">
        <f t="shared" si="4"/>
        <v>499.99999999999955</v>
      </c>
    </row>
    <row r="24" spans="1:9">
      <c r="A24" t="s">
        <v>305</v>
      </c>
      <c r="B24" s="79">
        <v>427</v>
      </c>
      <c r="C24" s="79">
        <v>765</v>
      </c>
      <c r="D24" s="79">
        <v>-948</v>
      </c>
      <c r="E24" s="66">
        <f>E11+E15+E22</f>
        <v>124.99999999999955</v>
      </c>
      <c r="F24" s="66">
        <f t="shared" ref="F24:I24" si="5">F11+F15+F22</f>
        <v>0</v>
      </c>
      <c r="G24" s="66">
        <f t="shared" si="5"/>
        <v>0</v>
      </c>
      <c r="H24" s="66">
        <f t="shared" si="5"/>
        <v>0</v>
      </c>
      <c r="I24" s="66">
        <f t="shared" si="5"/>
        <v>0</v>
      </c>
    </row>
    <row r="25" spans="1:9">
      <c r="A25" t="s">
        <v>306</v>
      </c>
      <c r="B25" s="79">
        <v>-31</v>
      </c>
      <c r="C25" s="79">
        <v>-146</v>
      </c>
      <c r="D25" s="79">
        <v>145</v>
      </c>
      <c r="E25" s="66">
        <f>0</f>
        <v>0</v>
      </c>
      <c r="F25" s="66">
        <f>0</f>
        <v>0</v>
      </c>
      <c r="G25" s="66">
        <f>0</f>
        <v>0</v>
      </c>
      <c r="H25" s="66">
        <f>0</f>
        <v>0</v>
      </c>
      <c r="I25" s="66">
        <f>0</f>
        <v>0</v>
      </c>
    </row>
    <row r="26" spans="1:9">
      <c r="A26" s="21" t="s">
        <v>292</v>
      </c>
      <c r="B26" s="80">
        <v>559</v>
      </c>
      <c r="C26" s="80">
        <v>1178</v>
      </c>
      <c r="D26" s="80">
        <v>375</v>
      </c>
      <c r="E26" s="66">
        <f>E23+E24+E25</f>
        <v>499.99999999999955</v>
      </c>
      <c r="F26" s="66">
        <f t="shared" ref="F26:I26" si="6">F23+F24+F25</f>
        <v>499.99999999999955</v>
      </c>
      <c r="G26" s="66">
        <f t="shared" si="6"/>
        <v>499.99999999999955</v>
      </c>
      <c r="H26" s="66">
        <f t="shared" si="6"/>
        <v>499.99999999999955</v>
      </c>
      <c r="I26" s="66">
        <f t="shared" si="6"/>
        <v>499.99999999999955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08F7-0750-AC44-A816-8EBD1F05A205}">
  <dimension ref="A1:H14"/>
  <sheetViews>
    <sheetView workbookViewId="0">
      <selection activeCell="C17" sqref="C17"/>
    </sheetView>
  </sheetViews>
  <sheetFormatPr baseColWidth="10" defaultRowHeight="16"/>
  <cols>
    <col min="1" max="1" width="33.1640625" customWidth="1"/>
  </cols>
  <sheetData>
    <row r="1" spans="1:8">
      <c r="A1" s="15" t="s">
        <v>236</v>
      </c>
      <c r="B1" s="15"/>
      <c r="C1" s="15"/>
      <c r="D1" s="15"/>
      <c r="E1" s="15"/>
      <c r="F1" s="15"/>
      <c r="G1" s="15"/>
    </row>
    <row r="3" spans="1:8">
      <c r="A3" t="s">
        <v>237</v>
      </c>
      <c r="B3" s="5" t="s">
        <v>67</v>
      </c>
      <c r="C3" s="5" t="s">
        <v>215</v>
      </c>
      <c r="D3" s="5" t="s">
        <v>216</v>
      </c>
      <c r="E3" s="5" t="s">
        <v>217</v>
      </c>
      <c r="F3" s="5" t="s">
        <v>218</v>
      </c>
      <c r="G3" s="5" t="s">
        <v>219</v>
      </c>
    </row>
    <row r="5" spans="1:8">
      <c r="A5" t="s">
        <v>238</v>
      </c>
      <c r="B5" s="65">
        <v>74091</v>
      </c>
      <c r="C5" s="66">
        <f>B9</f>
        <v>81520</v>
      </c>
      <c r="D5" s="66">
        <f>C9</f>
        <v>91044.565777219905</v>
      </c>
      <c r="E5" s="66">
        <f>D9</f>
        <v>101034.24110174124</v>
      </c>
      <c r="F5" s="66">
        <f>E9</f>
        <v>111116.13993761383</v>
      </c>
      <c r="G5" s="66">
        <f>F9</f>
        <v>121107.58651093698</v>
      </c>
    </row>
    <row r="6" spans="1:8">
      <c r="A6" t="s">
        <v>239</v>
      </c>
      <c r="B6" s="65">
        <v>10425</v>
      </c>
      <c r="C6" s="66">
        <f>'04_DRIVERS'!C9*'04_DRIVERS'!C16</f>
        <v>11712.999999999998</v>
      </c>
      <c r="D6" s="66">
        <f>'04_DRIVERS'!D9*'04_DRIVERS'!D16</f>
        <v>12433.8</v>
      </c>
      <c r="E6" s="66">
        <f>'04_DRIVERS'!E9*'04_DRIVERS'!E16</f>
        <v>12794.199999999999</v>
      </c>
      <c r="F6" s="66">
        <f>'04_DRIVERS'!F9*'04_DRIVERS'!F16</f>
        <v>12974.4</v>
      </c>
      <c r="G6" s="66">
        <f>'04_DRIVERS'!G9*'04_DRIVERS'!G16</f>
        <v>13154.599999999999</v>
      </c>
    </row>
    <row r="7" spans="1:8">
      <c r="A7" t="s">
        <v>240</v>
      </c>
      <c r="B7" s="65">
        <v>1989</v>
      </c>
      <c r="C7" s="66">
        <f>C5*'04_DRIVERS'!C17</f>
        <v>2188.4342227800948</v>
      </c>
      <c r="D7" s="66">
        <f>D5*'04_DRIVERS'!D17</f>
        <v>2444.1246754786735</v>
      </c>
      <c r="E7" s="66">
        <f>E5*'04_DRIVERS'!E17</f>
        <v>2712.301164127402</v>
      </c>
      <c r="F7" s="66">
        <f>F5*'04_DRIVERS'!F17</f>
        <v>2982.9534266768424</v>
      </c>
      <c r="G7" s="66">
        <f>G5*'04_DRIVERS'!G17</f>
        <v>3251.177465147638</v>
      </c>
    </row>
    <row r="8" spans="1:8">
      <c r="A8" t="s">
        <v>241</v>
      </c>
      <c r="B8" s="69">
        <f>B9-B5-B6+B7</f>
        <v>-1007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</row>
    <row r="9" spans="1:8">
      <c r="A9" t="s">
        <v>242</v>
      </c>
      <c r="B9" s="65">
        <v>81520</v>
      </c>
      <c r="C9" s="66">
        <f>C5+C6-C7+C8</f>
        <v>91044.565777219905</v>
      </c>
      <c r="D9" s="66">
        <f t="shared" ref="D9:G9" si="0">D5+D6-D7+D8</f>
        <v>101034.24110174124</v>
      </c>
      <c r="E9" s="66">
        <f t="shared" si="0"/>
        <v>111116.13993761383</v>
      </c>
      <c r="F9" s="66">
        <f t="shared" si="0"/>
        <v>121107.58651093698</v>
      </c>
      <c r="G9" s="66">
        <f t="shared" si="0"/>
        <v>131011.00904578932</v>
      </c>
    </row>
    <row r="11" spans="1:8">
      <c r="A11" t="s">
        <v>243</v>
      </c>
      <c r="B11" s="55">
        <f>B6/'04_DRIVERS'!B9</f>
        <v>0.90057014512785072</v>
      </c>
      <c r="C11" s="55">
        <f>C6/'04_DRIVERS'!C9</f>
        <v>0.90099999999999991</v>
      </c>
      <c r="D11" s="55">
        <f>D6/'04_DRIVERS'!D9</f>
        <v>0.90099999999999991</v>
      </c>
      <c r="E11" s="55">
        <f>E6/'04_DRIVERS'!E9</f>
        <v>0.90099999999999991</v>
      </c>
      <c r="F11" s="55">
        <f>F6/'04_DRIVERS'!F9</f>
        <v>0.90100000000000002</v>
      </c>
      <c r="G11" s="55">
        <f>G6/'04_DRIVERS'!G9</f>
        <v>0.90099999999999991</v>
      </c>
    </row>
    <row r="12" spans="1:8">
      <c r="A12" t="s">
        <v>244</v>
      </c>
      <c r="B12" s="55">
        <f>B7/B5</f>
        <v>2.6845365833906953E-2</v>
      </c>
      <c r="C12" s="55">
        <f>C7/C5</f>
        <v>2.6845365833906953E-2</v>
      </c>
      <c r="D12" s="55">
        <f t="shared" ref="D12:G12" si="1">D7/D5</f>
        <v>2.6845365833906953E-2</v>
      </c>
      <c r="E12" s="55">
        <f t="shared" si="1"/>
        <v>2.6845365833906953E-2</v>
      </c>
      <c r="F12" s="55">
        <f t="shared" si="1"/>
        <v>2.6845365833906953E-2</v>
      </c>
      <c r="G12" s="55">
        <f t="shared" si="1"/>
        <v>2.6845365833906953E-2</v>
      </c>
    </row>
    <row r="13" spans="1:8">
      <c r="A13" t="s">
        <v>245</v>
      </c>
      <c r="B13" s="61">
        <f>B9/B5-1</f>
        <v>0.10026858862749854</v>
      </c>
      <c r="C13" s="61">
        <f>C9/C5-1</f>
        <v>0.11683716606010686</v>
      </c>
      <c r="D13" s="61">
        <f t="shared" ref="D13:G13" si="2">D9/D5-1</f>
        <v>0.10972291689506664</v>
      </c>
      <c r="E13" s="61">
        <f t="shared" si="2"/>
        <v>9.9786950700408106E-2</v>
      </c>
      <c r="F13" s="61">
        <f t="shared" si="2"/>
        <v>8.9918949478742238E-2</v>
      </c>
      <c r="G13" s="61">
        <f t="shared" si="2"/>
        <v>8.1773758524681606E-2</v>
      </c>
      <c r="H13" s="62"/>
    </row>
    <row r="14" spans="1:8">
      <c r="A14" t="s">
        <v>246</v>
      </c>
      <c r="B14" s="56">
        <f>'04_DRIVERS'!B13</f>
        <v>0.109</v>
      </c>
      <c r="C14" s="56">
        <f>'04_DRIVERS'!C13</f>
        <v>0.1</v>
      </c>
      <c r="D14" s="56">
        <f>'04_DRIVERS'!D13</f>
        <v>0.1</v>
      </c>
      <c r="E14" s="56">
        <f>'04_DRIVERS'!E13</f>
        <v>0.1</v>
      </c>
      <c r="F14" s="56">
        <f>'04_DRIVERS'!F13</f>
        <v>0.1</v>
      </c>
      <c r="G14" s="56">
        <f>'04_DRIVERS'!G13</f>
        <v>0.1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028C-CB61-5E48-86F4-0801A9E65645}">
  <dimension ref="A1:G17"/>
  <sheetViews>
    <sheetView zoomScale="92" workbookViewId="0">
      <selection activeCell="B17" sqref="B17"/>
    </sheetView>
  </sheetViews>
  <sheetFormatPr baseColWidth="10" defaultRowHeight="16"/>
  <cols>
    <col min="1" max="1" width="31.83203125" customWidth="1"/>
  </cols>
  <sheetData>
    <row r="1" spans="1:7">
      <c r="A1" s="15" t="s">
        <v>248</v>
      </c>
      <c r="B1" s="15"/>
      <c r="C1" s="15"/>
      <c r="D1" s="15"/>
      <c r="E1" s="15"/>
      <c r="F1" s="15"/>
      <c r="G1" s="15"/>
    </row>
    <row r="3" spans="1:7">
      <c r="A3" s="25" t="s">
        <v>249</v>
      </c>
      <c r="B3" s="5" t="s">
        <v>67</v>
      </c>
      <c r="C3" s="5" t="s">
        <v>215</v>
      </c>
      <c r="D3" s="5" t="s">
        <v>216</v>
      </c>
      <c r="E3" s="5" t="s">
        <v>217</v>
      </c>
      <c r="F3" s="5" t="s">
        <v>218</v>
      </c>
      <c r="G3" s="5" t="s">
        <v>219</v>
      </c>
    </row>
    <row r="5" spans="1:7">
      <c r="A5" t="s">
        <v>250</v>
      </c>
      <c r="B5" s="65">
        <v>47539</v>
      </c>
      <c r="C5" s="66">
        <f>B9</f>
        <v>46755</v>
      </c>
      <c r="D5" s="66">
        <f>C9</f>
        <v>53640.430827373493</v>
      </c>
      <c r="E5" s="66">
        <f>D9</f>
        <v>60851.988860719663</v>
      </c>
      <c r="F5" s="66">
        <f>E9</f>
        <v>68111.84747862161</v>
      </c>
      <c r="G5" s="66">
        <f>F9</f>
        <v>75238.520642280419</v>
      </c>
    </row>
    <row r="6" spans="1:7">
      <c r="A6" t="s">
        <v>309</v>
      </c>
      <c r="B6" s="65">
        <v>4172</v>
      </c>
      <c r="C6" s="66">
        <f>'04_DRIVERS'!C9*'04_DRIVERS'!C19</f>
        <v>5200</v>
      </c>
      <c r="D6" s="66">
        <f>'04_DRIVERS'!D9*'04_DRIVERS'!D19</f>
        <v>5520</v>
      </c>
      <c r="E6" s="66">
        <f>'04_DRIVERS'!E9*'04_DRIVERS'!E19</f>
        <v>5680</v>
      </c>
      <c r="F6" s="66">
        <f>'04_DRIVERS'!F9*'04_DRIVERS'!F19</f>
        <v>5760</v>
      </c>
      <c r="G6" s="66">
        <f>'04_DRIVERS'!G9*'04_DRIVERS'!G19</f>
        <v>5840</v>
      </c>
    </row>
    <row r="7" spans="1:7">
      <c r="A7" t="s">
        <v>251</v>
      </c>
      <c r="B7" s="65">
        <v>2961</v>
      </c>
      <c r="C7" s="66">
        <f>C5*'04_DRIVERS'!C20</f>
        <v>2922.1875</v>
      </c>
      <c r="D7" s="66">
        <f>D5*'04_DRIVERS'!D20</f>
        <v>3352.5269267108433</v>
      </c>
      <c r="E7" s="66">
        <f>E5*'04_DRIVERS'!E20</f>
        <v>3803.2493037949789</v>
      </c>
      <c r="F7" s="66">
        <f>F5*'04_DRIVERS'!F20</f>
        <v>4256.9904674138506</v>
      </c>
      <c r="G7" s="66">
        <f>G5*'04_DRIVERS'!G20</f>
        <v>4702.4075401425262</v>
      </c>
    </row>
    <row r="8" spans="1:7">
      <c r="A8" t="s">
        <v>252</v>
      </c>
      <c r="B8" s="66">
        <f>B9-B5-B6+B7</f>
        <v>-1995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</row>
    <row r="9" spans="1:7">
      <c r="A9" t="s">
        <v>253</v>
      </c>
      <c r="B9" s="65">
        <v>46755</v>
      </c>
      <c r="C9" s="66">
        <f>C5+C6+C14-C7+C8</f>
        <v>53640.430827373493</v>
      </c>
      <c r="D9" s="66">
        <f>D5+D6+D14-D7+D8</f>
        <v>60851.988860719663</v>
      </c>
      <c r="E9" s="66">
        <f>E5+E6+E14-E7+E8</f>
        <v>68111.84747862161</v>
      </c>
      <c r="F9" s="66">
        <f>F5+F6+F14-F7+F8</f>
        <v>75238.520642280419</v>
      </c>
      <c r="G9" s="66">
        <f>G5+G6+G14-G7+G8</f>
        <v>82236.157282905828</v>
      </c>
    </row>
    <row r="10" spans="1:7">
      <c r="B10" s="66"/>
      <c r="C10" s="66"/>
      <c r="D10" s="66"/>
      <c r="E10" s="66"/>
      <c r="F10" s="66"/>
      <c r="G10" s="66"/>
    </row>
    <row r="11" spans="1:7">
      <c r="A11" t="s">
        <v>254</v>
      </c>
      <c r="B11" s="66">
        <f>(B5+B9)/2</f>
        <v>47147</v>
      </c>
      <c r="C11" s="66">
        <f>(C5+(C5+C6-C7+C8))/2</f>
        <v>47893.90625</v>
      </c>
      <c r="D11" s="66">
        <f t="shared" ref="D11:G11" si="0">(D5+(D5+D6-D7+D8))/2</f>
        <v>54724.167364018067</v>
      </c>
      <c r="E11" s="66">
        <f t="shared" si="0"/>
        <v>61790.364208822175</v>
      </c>
      <c r="F11" s="66">
        <f t="shared" si="0"/>
        <v>68863.352244914684</v>
      </c>
      <c r="G11" s="66">
        <f t="shared" si="0"/>
        <v>75807.316872209165</v>
      </c>
    </row>
    <row r="12" spans="1:7">
      <c r="A12" t="s">
        <v>255</v>
      </c>
      <c r="B12" s="55">
        <f>1705/B11</f>
        <v>3.6163488663117485E-2</v>
      </c>
      <c r="C12" s="55">
        <f>'04_DRIVERS'!C21</f>
        <v>3.7999999999999999E-2</v>
      </c>
      <c r="D12" s="55">
        <f>'04_DRIVERS'!D21</f>
        <v>3.9E-2</v>
      </c>
      <c r="E12" s="55">
        <f>'04_DRIVERS'!E21</f>
        <v>0.04</v>
      </c>
      <c r="F12" s="55">
        <f>'04_DRIVERS'!F21</f>
        <v>0.04</v>
      </c>
      <c r="G12" s="55">
        <f>'04_DRIVERS'!G21</f>
        <v>0.04</v>
      </c>
    </row>
    <row r="13" spans="1:7">
      <c r="A13" t="s">
        <v>256</v>
      </c>
      <c r="B13" s="65">
        <v>1705</v>
      </c>
      <c r="C13" s="66">
        <f>C11*C12</f>
        <v>1819.9684374999999</v>
      </c>
      <c r="D13" s="66">
        <f t="shared" ref="D13:G13" si="1">D11*D12</f>
        <v>2134.2425271967045</v>
      </c>
      <c r="E13" s="66">
        <f t="shared" si="1"/>
        <v>2471.6145683528871</v>
      </c>
      <c r="F13" s="66">
        <f t="shared" si="1"/>
        <v>2754.5340897965875</v>
      </c>
      <c r="G13" s="66">
        <f t="shared" si="1"/>
        <v>3032.2926748883665</v>
      </c>
    </row>
    <row r="14" spans="1:7">
      <c r="A14" t="s">
        <v>308</v>
      </c>
      <c r="B14" s="66">
        <v>0</v>
      </c>
      <c r="C14" s="66">
        <f>'07_CASH_FLOW'!E17</f>
        <v>4607.6183273734914</v>
      </c>
      <c r="D14" s="66">
        <f>'07_CASH_FLOW'!F17</f>
        <v>5044.0849600570164</v>
      </c>
      <c r="E14" s="66">
        <f>'07_CASH_FLOW'!G17</f>
        <v>5383.1079216969247</v>
      </c>
      <c r="F14" s="66">
        <f>'07_CASH_FLOW'!H17</f>
        <v>5623.6636310726608</v>
      </c>
      <c r="G14" s="66">
        <f>'07_CASH_FLOW'!I17</f>
        <v>5860.0441807679326</v>
      </c>
    </row>
    <row r="15" spans="1:7">
      <c r="A15" t="s">
        <v>257</v>
      </c>
      <c r="B15" s="55">
        <f>B6/'04_DRIVERS'!B9</f>
        <v>0.36040082930200412</v>
      </c>
      <c r="C15" s="54">
        <f>C6/'04_DRIVERS'!C9</f>
        <v>0.4</v>
      </c>
      <c r="D15" s="54">
        <f>D6/'04_DRIVERS'!D9</f>
        <v>0.4</v>
      </c>
      <c r="E15" s="54">
        <f>E6/'04_DRIVERS'!E9</f>
        <v>0.4</v>
      </c>
      <c r="F15" s="54">
        <f>F6/'04_DRIVERS'!F9</f>
        <v>0.4</v>
      </c>
      <c r="G15" s="54">
        <f>G6/'04_DRIVERS'!G9</f>
        <v>0.4</v>
      </c>
    </row>
    <row r="16" spans="1:7">
      <c r="A16" t="s">
        <v>258</v>
      </c>
      <c r="B16" s="55">
        <f>B7/B5</f>
        <v>6.2285702265508322E-2</v>
      </c>
      <c r="C16" s="67">
        <f>C7/C5</f>
        <v>6.25E-2</v>
      </c>
      <c r="D16" s="59">
        <f t="shared" ref="D16:G16" si="2">D7/D5</f>
        <v>6.25E-2</v>
      </c>
      <c r="E16" s="59">
        <f t="shared" si="2"/>
        <v>6.25E-2</v>
      </c>
      <c r="F16" s="59">
        <f t="shared" si="2"/>
        <v>6.25E-2</v>
      </c>
      <c r="G16" s="59">
        <f t="shared" si="2"/>
        <v>6.25E-2</v>
      </c>
    </row>
    <row r="17" spans="1:7">
      <c r="A17" t="s">
        <v>259</v>
      </c>
      <c r="B17" s="55">
        <f>B9/B5-1</f>
        <v>-1.6491722585666557E-2</v>
      </c>
      <c r="C17" s="55">
        <f>C9/C5-1</f>
        <v>0.14726619243660566</v>
      </c>
      <c r="D17" s="55">
        <f t="shared" ref="D17:G17" si="3">D9/D5-1</f>
        <v>0.13444258224835148</v>
      </c>
      <c r="E17" s="55">
        <f t="shared" si="3"/>
        <v>0.11930355529576175</v>
      </c>
      <c r="F17" s="55">
        <f t="shared" si="3"/>
        <v>0.10463191687607165</v>
      </c>
      <c r="G17" s="55">
        <f t="shared" si="3"/>
        <v>9.30060370790049E-2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6733-EDA8-EE46-9683-19D6AAC1A9F3}">
  <dimension ref="A1:I13"/>
  <sheetViews>
    <sheetView zoomScale="106" workbookViewId="0">
      <selection activeCell="G17" sqref="G17"/>
    </sheetView>
  </sheetViews>
  <sheetFormatPr baseColWidth="10" defaultRowHeight="16"/>
  <cols>
    <col min="1" max="1" width="25.6640625" customWidth="1"/>
    <col min="2" max="2" width="17" customWidth="1"/>
    <col min="3" max="3" width="19" customWidth="1"/>
    <col min="4" max="4" width="20.6640625" bestFit="1" customWidth="1"/>
    <col min="5" max="5" width="16.5" bestFit="1" customWidth="1"/>
    <col min="6" max="6" width="12.83203125" bestFit="1" customWidth="1"/>
    <col min="7" max="7" width="12.1640625" bestFit="1" customWidth="1"/>
    <col min="8" max="8" width="15.5" customWidth="1"/>
    <col min="9" max="9" width="88" bestFit="1" customWidth="1"/>
  </cols>
  <sheetData>
    <row r="1" spans="1:9">
      <c r="A1" s="15" t="s">
        <v>312</v>
      </c>
      <c r="B1" s="15"/>
      <c r="C1" s="15"/>
      <c r="D1" s="15"/>
      <c r="E1" s="15"/>
      <c r="F1" s="15"/>
      <c r="G1" s="15"/>
      <c r="H1" s="15"/>
      <c r="I1" s="15"/>
    </row>
    <row r="2" spans="1:9">
      <c r="A2" t="s">
        <v>313</v>
      </c>
    </row>
    <row r="3" spans="1:9">
      <c r="A3" s="21"/>
      <c r="B3" s="21"/>
      <c r="C3" s="21"/>
      <c r="D3" s="21"/>
      <c r="E3" s="21"/>
    </row>
    <row r="4" spans="1:9" s="25" customFormat="1">
      <c r="A4" s="25" t="s">
        <v>310</v>
      </c>
      <c r="B4" s="25" t="s">
        <v>314</v>
      </c>
      <c r="C4" s="81" t="s">
        <v>315</v>
      </c>
      <c r="D4" s="25" t="s">
        <v>316</v>
      </c>
      <c r="E4" s="25" t="s">
        <v>317</v>
      </c>
      <c r="F4" s="25" t="s">
        <v>318</v>
      </c>
      <c r="G4" s="25" t="s">
        <v>319</v>
      </c>
      <c r="H4" s="25" t="s">
        <v>311</v>
      </c>
      <c r="I4" s="25" t="s">
        <v>320</v>
      </c>
    </row>
    <row r="5" spans="1:9">
      <c r="A5" t="s">
        <v>321</v>
      </c>
      <c r="B5" s="66">
        <f>'05_INCOME_STATEMENT'!D5</f>
        <v>17687</v>
      </c>
      <c r="C5" s="66">
        <v>19500</v>
      </c>
      <c r="D5" s="82">
        <f>'05_INCOME_STATEMENT'!E5</f>
        <v>19101.960000000003</v>
      </c>
      <c r="E5" s="53">
        <f>D5-C5</f>
        <v>-398.03999999999724</v>
      </c>
      <c r="F5">
        <f>IFERROR(D5/C5-1,0)</f>
        <v>-2.0412307692307508E-2</v>
      </c>
      <c r="G5">
        <f>IFERROR(D5/B5-1,0)</f>
        <v>8.0000000000000071E-2</v>
      </c>
      <c r="H5" t="str">
        <f>IF(E5&gt;=0,"F","A")</f>
        <v>A</v>
      </c>
      <c r="I5" t="str">
        <f>IF(E5&gt;=0,"Revenue forecast is £"&amp;TEXT(E5,"#,##0")&amp;"m above budget.","Revenue forecast is £"&amp;TEXT(ABS(E5),"#,##0")&amp;"m below budget; investigate timing, volumes and regulated revenue assumptions.")</f>
        <v>Revenue forecast is £398m below budget; investigate timing, volumes and regulated revenue assumptions.</v>
      </c>
    </row>
    <row r="6" spans="1:9">
      <c r="A6" t="s">
        <v>322</v>
      </c>
      <c r="B6" s="66">
        <f>'05_INCOME_STATEMENT'!D8</f>
        <v>5431</v>
      </c>
      <c r="C6" s="66">
        <v>6143</v>
      </c>
      <c r="D6" s="82">
        <f>'05_INCOME_STATEMENT'!E8</f>
        <v>6074.4232800000009</v>
      </c>
      <c r="E6" s="53">
        <f>D6-C6</f>
        <v>-68.576719999999113</v>
      </c>
      <c r="F6">
        <f>IFERROR(D6/C6-1,0)</f>
        <v>-1.1163392479244472E-2</v>
      </c>
      <c r="G6">
        <f>IFERROR(D6/B6-1,0)</f>
        <v>0.11847234026882725</v>
      </c>
      <c r="H6" t="str">
        <f>IF(E6&gt;=0,"F","A")</f>
        <v>A</v>
      </c>
      <c r="I6" t="str">
        <f>IF(E6&gt;=0,"Operating profit is £"&amp;TEXT(E6,"#,##0")&amp;"m above budget.","Operating profit is £"&amp;TEXT(ABS(E6),"#,##0")&amp;"m below budget; assess revenue performance versus margin protection.")</f>
        <v>Operating profit is £69m below budget; assess revenue performance versus margin protection.</v>
      </c>
    </row>
    <row r="7" spans="1:9">
      <c r="A7" t="s">
        <v>181</v>
      </c>
      <c r="B7" s="59">
        <f>'05_INCOME_STATEMENT'!D9</f>
        <v>0.30706168372250808</v>
      </c>
      <c r="C7" s="59">
        <v>0.315</v>
      </c>
      <c r="D7" s="83">
        <f>'05_INCOME_STATEMENT'!E9</f>
        <v>0.318</v>
      </c>
      <c r="E7" s="59">
        <f>D7-C7</f>
        <v>3.0000000000000027E-3</v>
      </c>
      <c r="F7" s="59" t="str">
        <f>""</f>
        <v/>
      </c>
      <c r="G7" s="59">
        <f>D7-B7</f>
        <v>1.0938316277491922E-2</v>
      </c>
      <c r="H7" t="str">
        <f>IF(E7&gt;=0,"F","A")</f>
        <v>F</v>
      </c>
      <c r="I7" t="str">
        <f>IF(E7&gt;=0,"Operating margin is "&amp;TEXT(E7*100,"0.0")&amp;"pp above budget, indicating stronger operating efficiency.","Operating margin is "&amp;TEXT(ABS(E7)*100,"0.0")&amp;"pp below budget; review operating cost control.")</f>
        <v>Operating margin is 0.3pp above budget, indicating stronger operating efficiency.</v>
      </c>
    </row>
    <row r="8" spans="1:9">
      <c r="A8" t="s">
        <v>221</v>
      </c>
      <c r="B8" s="66">
        <f>'04_DRIVERS'!B9</f>
        <v>11576</v>
      </c>
      <c r="C8" s="66">
        <v>12800</v>
      </c>
      <c r="D8" s="82">
        <f>'04_DRIVERS'!C9</f>
        <v>13000</v>
      </c>
      <c r="E8" s="16">
        <f>D8-C8</f>
        <v>200</v>
      </c>
      <c r="F8">
        <f>IFERROR(D8/C8-1,0)</f>
        <v>1.5625E-2</v>
      </c>
      <c r="G8">
        <f>IFERROR(D8/B8-1,0)</f>
        <v>0.12301313061506569</v>
      </c>
      <c r="H8" t="str">
        <f>IF(E8&lt;=0,"F","A")</f>
        <v>A</v>
      </c>
      <c r="I8" t="str">
        <f>IF(E8&lt;=0,"Capital investment is £"&amp;TEXT(ABS(E8),"#,##0")&amp;"m below budget.","Capital investment is £"&amp;TEXT(E8,"#,##0")&amp;"m above budget; review project timing, delivery and funding requirements.")</f>
        <v>Capital investment is £200m above budget; review project timing, delivery and funding requirements.</v>
      </c>
    </row>
    <row r="9" spans="1:9">
      <c r="A9" t="s">
        <v>323</v>
      </c>
      <c r="B9" s="66">
        <f>'07_CASH_FLOW'!D11</f>
        <v>7829</v>
      </c>
      <c r="C9" s="66">
        <v>9300</v>
      </c>
      <c r="D9" s="82">
        <f>'07_CASH_FLOW'!E11</f>
        <v>9556.278198701506</v>
      </c>
      <c r="E9">
        <f>D9-C9</f>
        <v>256.27819870150597</v>
      </c>
      <c r="F9">
        <f>IFERROR(D9/C9-1,0)</f>
        <v>2.7556795559301683E-2</v>
      </c>
      <c r="G9">
        <f>IFERROR(D9/B9-1,0)</f>
        <v>0.22062564806507923</v>
      </c>
      <c r="H9" t="str">
        <f>IF(E9&gt;=0,"F","A")</f>
        <v>F</v>
      </c>
      <c r="I9" t="str">
        <f>IF(E9&gt;=0,"Operating cash flow is £"&amp;TEXT(E9,"#,##0")&amp;"m above budget.","Operating cash flow is £"&amp;TEXT(ABS(E9),"#,##0")&amp;"m below budget; review working capital and cash conversion.")</f>
        <v>Operating cash flow is £256m above budget.</v>
      </c>
    </row>
    <row r="10" spans="1:9">
      <c r="A10" t="s">
        <v>324</v>
      </c>
      <c r="B10" s="66">
        <f>'09_DEBT'!B13</f>
        <v>1705</v>
      </c>
      <c r="C10" s="66">
        <v>1800</v>
      </c>
      <c r="D10" s="82">
        <f>'09_DEBT'!C13</f>
        <v>1819.9684374999999</v>
      </c>
      <c r="E10">
        <f>D10-C10</f>
        <v>19.968437499999936</v>
      </c>
      <c r="F10">
        <f>IFERROR(D10/C10-1,0)</f>
        <v>1.1093576388888859E-2</v>
      </c>
      <c r="G10">
        <f>IFERROR(D10/B10-1,0)</f>
        <v>6.7430168621700926E-2</v>
      </c>
      <c r="H10" t="str">
        <f>IF(E10&lt;=0,"F","A")</f>
        <v>A</v>
      </c>
      <c r="I10" t="str">
        <f>IF(E10&lt;=0,"Finance cost is £"&amp;TEXT(ABS(E10),"#,##0")&amp;"m below budget.","Finance cost is £"&amp;TEXT(E10,"#,##0")&amp;"m above budget due to higher funding requirements and debt levels.")</f>
        <v>Finance cost is £20m above budget due to higher funding requirements and debt levels.</v>
      </c>
    </row>
    <row r="11" spans="1:9">
      <c r="A11" t="s">
        <v>325</v>
      </c>
      <c r="B11" s="66">
        <f>'05_INCOME_STATEMENT'!D19</f>
        <v>3243</v>
      </c>
      <c r="C11" s="66">
        <v>3650</v>
      </c>
      <c r="D11" s="82">
        <f>'05_INCOME_STATEMENT'!E19</f>
        <v>3675.933177150001</v>
      </c>
      <c r="E11" s="16">
        <f>D11-C11</f>
        <v>25.933177150001029</v>
      </c>
      <c r="F11">
        <f>IFERROR(D11/C11-1,0)</f>
        <v>7.104980041096276E-3</v>
      </c>
      <c r="G11">
        <f>IFERROR(D11/B11-1,0)</f>
        <v>0.13349774195189679</v>
      </c>
      <c r="H11" t="str">
        <f>IF(E11&gt;=0,"F","A")</f>
        <v>F</v>
      </c>
      <c r="I11" t="str">
        <f>IF(E11&gt;=0,"Profit after tax is £"&amp;TEXT(E11,"#,##0")&amp;"m above budget.","Profit after tax is £"&amp;TEXT(ABS(E11),"#,##0")&amp;"m below budget; review operating performance and financing costs.")</f>
        <v>Profit after tax is £26m above budget.</v>
      </c>
    </row>
    <row r="12" spans="1:9">
      <c r="A12" t="s">
        <v>326</v>
      </c>
      <c r="B12" s="66">
        <f>'09_DEBT'!B9</f>
        <v>46755</v>
      </c>
      <c r="C12" s="66">
        <v>52500</v>
      </c>
      <c r="D12" s="82">
        <f>'09_DEBT'!C9</f>
        <v>53640.430827373493</v>
      </c>
      <c r="E12">
        <f>D12-C12</f>
        <v>1140.4308273734932</v>
      </c>
      <c r="F12">
        <f>IFERROR(D12/C12-1,0)</f>
        <v>2.1722491949971223E-2</v>
      </c>
      <c r="G12">
        <f>IFERROR(D12/B12-1,0)</f>
        <v>0.14726619243660566</v>
      </c>
      <c r="H12" t="str">
        <f>IF(E12&lt;=0,"F","A")</f>
        <v>A</v>
      </c>
      <c r="I12" t="str">
        <f>IF(E12&lt;=0,"Closing debt is £"&amp;TEXT(ABS(E12),"#,##0")&amp;"m below budget.","Closing debt is £"&amp;TEXT(E12,"#,##0")&amp;"m above budget; monitor leverage and financing capacity.")</f>
        <v>Closing debt is £1,140m above budget; monitor leverage and financing capacity.</v>
      </c>
    </row>
    <row r="13" spans="1:9">
      <c r="A13" t="s">
        <v>327</v>
      </c>
      <c r="B13" s="66">
        <f>'09_DEBT'!B14</f>
        <v>0</v>
      </c>
      <c r="C13" s="66">
        <v>4000</v>
      </c>
      <c r="D13" s="66">
        <f>'09_DEBT'!C14</f>
        <v>4607.6183273734914</v>
      </c>
      <c r="E13">
        <f>D13-C13</f>
        <v>607.61832737349141</v>
      </c>
      <c r="F13">
        <f>IFERROR(D13/C13-1,0)</f>
        <v>0.15190458184337285</v>
      </c>
      <c r="G13" t="str">
        <f>""</f>
        <v/>
      </c>
      <c r="H13" t="str">
        <f>IF(E13&lt;=0,"F","A")</f>
        <v>A</v>
      </c>
      <c r="I13" t="str">
        <f>IF(E13&lt;=0,"Additional funding requirement is £"&amp;TEXT(ABS(E13),"#,##0")&amp;"m below budget.","Additional funding requirement is £"&amp;TEXT(E13,"#,##0")&amp;"m above budget, highlighting increased external financing needs.")</f>
        <v>Additional funding requirement is £608m above budget, highlighting increased external financing needs.</v>
      </c>
    </row>
  </sheetData>
  <mergeCells count="1">
    <mergeCell ref="A1:I1"/>
  </mergeCells>
  <conditionalFormatting sqref="H5:H13">
    <cfRule type="containsText" priority="1" operator="containsText" text="F">
      <formula>NOT(ISERROR(SEARCH("F",H5)))</formula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{AEE1C826-6749-2A46-8948-41AB9C554090}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E1C826-6749-2A46-8948-41AB9C554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BD7E-F12B-3A47-8588-17399B88E8B6}">
  <dimension ref="A1:I21"/>
  <sheetViews>
    <sheetView zoomScale="93" workbookViewId="0">
      <selection activeCell="F23" sqref="F23"/>
    </sheetView>
  </sheetViews>
  <sheetFormatPr baseColWidth="10" defaultRowHeight="16"/>
  <cols>
    <col min="1" max="1" width="25.1640625" bestFit="1" customWidth="1"/>
    <col min="2" max="2" width="12.1640625" bestFit="1" customWidth="1"/>
    <col min="3" max="4" width="12.83203125" bestFit="1" customWidth="1"/>
    <col min="5" max="9" width="15.1640625" bestFit="1" customWidth="1"/>
  </cols>
  <sheetData>
    <row r="1" spans="1:9">
      <c r="A1" s="15" t="s">
        <v>340</v>
      </c>
      <c r="B1" s="15"/>
      <c r="C1" s="15"/>
      <c r="D1" s="15"/>
      <c r="E1" s="15"/>
      <c r="F1" s="15"/>
      <c r="G1" s="15"/>
      <c r="H1" s="15"/>
      <c r="I1" s="15"/>
    </row>
    <row r="3" spans="1:9">
      <c r="A3" s="25" t="s">
        <v>204</v>
      </c>
      <c r="B3" s="25" t="s">
        <v>65</v>
      </c>
      <c r="C3" s="25" t="s">
        <v>66</v>
      </c>
      <c r="D3" s="25" t="s">
        <v>67</v>
      </c>
      <c r="E3" s="25" t="s">
        <v>215</v>
      </c>
      <c r="F3" s="25" t="s">
        <v>216</v>
      </c>
      <c r="G3" s="25" t="s">
        <v>217</v>
      </c>
      <c r="H3" s="25" t="s">
        <v>218</v>
      </c>
      <c r="I3" s="25" t="s">
        <v>219</v>
      </c>
    </row>
    <row r="4" spans="1:9">
      <c r="A4" t="s">
        <v>180</v>
      </c>
      <c r="B4" t="str">
        <f>""</f>
        <v/>
      </c>
      <c r="C4">
        <f>'05_INCOME_STATEMENT'!C6</f>
        <v>-7.4156171284634809E-2</v>
      </c>
      <c r="D4">
        <f>'05_INCOME_STATEMENT'!D6</f>
        <v>-3.7599303515072346E-2</v>
      </c>
      <c r="E4">
        <f>'05_INCOME_STATEMENT'!E6</f>
        <v>0.08</v>
      </c>
      <c r="F4">
        <f>'05_INCOME_STATEMENT'!F6</f>
        <v>7.0000000000000007E-2</v>
      </c>
      <c r="G4">
        <f>'05_INCOME_STATEMENT'!G6</f>
        <v>6.5000000000000002E-2</v>
      </c>
      <c r="H4">
        <f>'05_INCOME_STATEMENT'!H6</f>
        <v>0.06</v>
      </c>
      <c r="I4">
        <f>'05_INCOME_STATEMENT'!I6</f>
        <v>5.5E-2</v>
      </c>
    </row>
    <row r="5" spans="1:9">
      <c r="A5" t="s">
        <v>181</v>
      </c>
      <c r="B5" s="28">
        <f>'05_INCOME_STATEMENT'!B9</f>
        <v>0.22544080604534006</v>
      </c>
      <c r="C5" s="28">
        <f>'05_INCOME_STATEMENT'!C9</f>
        <v>0.26847317444770924</v>
      </c>
      <c r="D5" s="28">
        <f>'05_INCOME_STATEMENT'!D9</f>
        <v>0.30706168372250808</v>
      </c>
      <c r="E5">
        <f>'05_INCOME_STATEMENT'!E9</f>
        <v>0.318</v>
      </c>
      <c r="F5">
        <f>'05_INCOME_STATEMENT'!F9</f>
        <v>0.32</v>
      </c>
      <c r="G5">
        <f>'05_INCOME_STATEMENT'!G9</f>
        <v>0.32100000000000001</v>
      </c>
      <c r="H5">
        <f>'05_INCOME_STATEMENT'!H9</f>
        <v>0.32200000000000001</v>
      </c>
      <c r="I5">
        <f>'05_INCOME_STATEMENT'!I9</f>
        <v>0.32300000000000001</v>
      </c>
    </row>
    <row r="6" spans="1:9">
      <c r="A6" t="s">
        <v>328</v>
      </c>
      <c r="B6" s="28">
        <f>'05_INCOME_STATEMENT'!B19/'05_INCOME_STATEMENT'!B5</f>
        <v>0.11168765743073047</v>
      </c>
      <c r="C6" s="28">
        <f>'05_INCOME_STATEMENT'!C19/'05_INCOME_STATEMENT'!C5</f>
        <v>0.15393405158341494</v>
      </c>
      <c r="D6" s="28">
        <f>'05_INCOME_STATEMENT'!D19/'05_INCOME_STATEMENT'!D5</f>
        <v>0.18335500650195058</v>
      </c>
      <c r="E6" s="28">
        <f>'05_INCOME_STATEMENT'!E19/'05_INCOME_STATEMENT'!E5</f>
        <v>0.1924374868940151</v>
      </c>
      <c r="F6" s="28">
        <f>'05_INCOME_STATEMENT'!F19/'05_INCOME_STATEMENT'!F5</f>
        <v>0.18573127789159741</v>
      </c>
      <c r="G6" s="28">
        <f>'05_INCOME_STATEMENT'!G19/'05_INCOME_STATEMENT'!G5</f>
        <v>0.17840698806948041</v>
      </c>
      <c r="H6" s="28">
        <f>'05_INCOME_STATEMENT'!H19/'05_INCOME_STATEMENT'!H5</f>
        <v>0.17378113691576458</v>
      </c>
      <c r="I6" s="28">
        <f>'05_INCOME_STATEMENT'!I19/'05_INCOME_STATEMENT'!I5</f>
        <v>0.16977728187737451</v>
      </c>
    </row>
    <row r="7" spans="1:9">
      <c r="A7" t="s">
        <v>208</v>
      </c>
      <c r="B7" s="28">
        <f>'07_CASH_FLOW'!B11/'05_INCOME_STATEMENT'!B8</f>
        <v>1.5506145251396648</v>
      </c>
      <c r="C7" s="28">
        <f>'07_CASH_FLOW'!C11/'05_INCOME_STATEMENT'!C8</f>
        <v>1.3798135387109851</v>
      </c>
      <c r="D7" s="28">
        <f>'07_CASH_FLOW'!D11/'05_INCOME_STATEMENT'!D8</f>
        <v>1.4415393113607071</v>
      </c>
      <c r="E7" s="28">
        <f>'07_CASH_FLOW'!E11/'05_INCOME_STATEMENT'!E8</f>
        <v>1.5731992583008645</v>
      </c>
      <c r="F7" s="28">
        <f>'07_CASH_FLOW'!F11/'05_INCOME_STATEMENT'!F8</f>
        <v>1.5683558565523101</v>
      </c>
      <c r="G7" s="28">
        <f>'07_CASH_FLOW'!G11/'05_INCOME_STATEMENT'!G8</f>
        <v>1.5728034667235051</v>
      </c>
      <c r="H7" s="28">
        <f>'07_CASH_FLOW'!H11/'05_INCOME_STATEMENT'!H8</f>
        <v>1.5731442287322315</v>
      </c>
      <c r="I7" s="28">
        <f>'07_CASH_FLOW'!I11/'05_INCOME_STATEMENT'!I8</f>
        <v>1.5739191581740737</v>
      </c>
    </row>
    <row r="8" spans="1:9">
      <c r="A8" t="s">
        <v>329</v>
      </c>
      <c r="B8" s="28">
        <f>ABS('07_CASH_FLOW'!B13)/'05_INCOME_STATEMENT'!B5</f>
        <v>0.34780856423173806</v>
      </c>
      <c r="C8" s="28">
        <f>ABS('07_CASH_FLOW'!C13)/'05_INCOME_STATEMENT'!C5</f>
        <v>0.47774513004679509</v>
      </c>
      <c r="D8" s="28">
        <f>ABS('07_CASH_FLOW'!D13)/'05_INCOME_STATEMENT'!D5</f>
        <v>0.56476508169842254</v>
      </c>
      <c r="E8" s="28">
        <f>ABS('07_CASH_FLOW'!E13)/'05_INCOME_STATEMENT'!E5</f>
        <v>0.61318314979195832</v>
      </c>
      <c r="F8" s="28">
        <f>ABS('07_CASH_FLOW'!F13)/'05_INCOME_STATEMENT'!F5</f>
        <v>0.60833410978641445</v>
      </c>
      <c r="G8" s="28">
        <f>ABS('07_CASH_FLOW'!G13)/'05_INCOME_STATEMENT'!G5</f>
        <v>0.58776242491441011</v>
      </c>
      <c r="H8" s="28">
        <f>ABS('07_CASH_FLOW'!H13)/'05_INCOME_STATEMENT'!H5</f>
        <v>0.56230261219555588</v>
      </c>
      <c r="I8" s="28">
        <f>ABS('07_CASH_FLOW'!I13)/'05_INCOME_STATEMENT'!I5</f>
        <v>0.54039087269978381</v>
      </c>
    </row>
    <row r="9" spans="1:9">
      <c r="A9" t="s">
        <v>330</v>
      </c>
      <c r="B9">
        <f>'07_CASH_FLOW'!B11+'07_CASH_FLOW'!B15</f>
        <v>-662</v>
      </c>
      <c r="C9">
        <f>'07_CASH_FLOW'!C11+'07_CASH_FLOW'!C15</f>
        <v>-3785</v>
      </c>
      <c r="D9">
        <f>'07_CASH_FLOW'!D11+'07_CASH_FLOW'!D15</f>
        <v>3672</v>
      </c>
      <c r="E9" s="53">
        <f>'07_CASH_FLOW'!E11+'07_CASH_FLOW'!E15</f>
        <v>-3102.4958012984916</v>
      </c>
      <c r="F9" s="53">
        <f>'07_CASH_FLOW'!F11+'07_CASH_FLOW'!F15</f>
        <v>-3179.2256851961829</v>
      </c>
      <c r="G9" s="53">
        <f>'07_CASH_FLOW'!G11+'07_CASH_FLOW'!G15</f>
        <v>-2846.4946368582641</v>
      </c>
      <c r="H9" s="53">
        <f>'07_CASH_FLOW'!H11+'07_CASH_FLOW'!H15</f>
        <v>-2367.2524399586255</v>
      </c>
      <c r="I9" s="53">
        <f>'07_CASH_FLOW'!I11+'07_CASH_FLOW'!I15</f>
        <v>-1898.9209883962867</v>
      </c>
    </row>
    <row r="10" spans="1:9">
      <c r="A10" t="s">
        <v>331</v>
      </c>
      <c r="B10">
        <f>'05_INCOME_STATEMENT'!B8+'07_CASH_FLOW'!B5</f>
        <v>6536</v>
      </c>
      <c r="C10">
        <f>'05_INCOME_STATEMENT'!C8+'07_CASH_FLOW'!C5</f>
        <v>7109</v>
      </c>
      <c r="D10">
        <f>'05_INCOME_STATEMENT'!D8+'07_CASH_FLOW'!D5</f>
        <v>7678</v>
      </c>
      <c r="E10" s="53">
        <f>'05_INCOME_STATEMENT'!E8+'07_CASH_FLOW'!E5</f>
        <v>8534.3875027800968</v>
      </c>
      <c r="F10" s="53">
        <f>'05_INCOME_STATEMENT'!F8+'07_CASH_FLOW'!F5</f>
        <v>9269.7422794786744</v>
      </c>
      <c r="G10" s="53">
        <f>'05_INCOME_STATEMENT'!G8+'07_CASH_FLOW'!G5</f>
        <v>9999.074953405403</v>
      </c>
      <c r="H10" s="53">
        <f>'05_INCOME_STATEMENT'!H8+'07_CASH_FLOW'!H5</f>
        <v>10727.013721890604</v>
      </c>
      <c r="I10" s="53">
        <f>'05_INCOME_STATEMENT'!I8+'07_CASH_FLOW'!I5</f>
        <v>11443.932177171584</v>
      </c>
    </row>
    <row r="11" spans="1:9">
      <c r="A11" t="s">
        <v>332</v>
      </c>
      <c r="B11">
        <f>'06_BALANCE_SHEET'!B21</f>
        <v>47072</v>
      </c>
      <c r="C11">
        <f>'06_BALANCE_SHEET'!C21</f>
        <v>47539</v>
      </c>
      <c r="D11">
        <f>'06_BALANCE_SHEET'!D21</f>
        <v>46755</v>
      </c>
      <c r="E11" s="30">
        <f>'06_BALANCE_SHEET'!E21</f>
        <v>53640.430827373493</v>
      </c>
      <c r="F11" s="30">
        <f>'06_BALANCE_SHEET'!F21</f>
        <v>60851.988860719663</v>
      </c>
      <c r="G11" s="30">
        <f>'06_BALANCE_SHEET'!G21</f>
        <v>68111.84747862161</v>
      </c>
      <c r="H11" s="30">
        <f>'06_BALANCE_SHEET'!H21</f>
        <v>75238.520642280419</v>
      </c>
      <c r="I11" s="30">
        <f>'06_BALANCE_SHEET'!I21</f>
        <v>82236.157282905828</v>
      </c>
    </row>
    <row r="12" spans="1:9">
      <c r="A12" t="s">
        <v>333</v>
      </c>
      <c r="B12">
        <f>'06_BALANCE_SHEET'!B21-'06_BALANCE_SHEET'!B14</f>
        <v>46513</v>
      </c>
      <c r="C12">
        <f>'06_BALANCE_SHEET'!C21-'06_BALANCE_SHEET'!C14</f>
        <v>46361</v>
      </c>
      <c r="D12">
        <f>'06_BALANCE_SHEET'!D21-'06_BALANCE_SHEET'!D14</f>
        <v>46380</v>
      </c>
      <c r="E12" s="30">
        <f>'06_BALANCE_SHEET'!E21-'06_BALANCE_SHEET'!E14</f>
        <v>53140.430827373493</v>
      </c>
      <c r="F12" s="30">
        <f>'06_BALANCE_SHEET'!F21-'06_BALANCE_SHEET'!F14</f>
        <v>60351.988860719663</v>
      </c>
      <c r="G12" s="30">
        <f>'06_BALANCE_SHEET'!G21-'06_BALANCE_SHEET'!G14</f>
        <v>67611.84747862161</v>
      </c>
      <c r="H12" s="30">
        <f>'06_BALANCE_SHEET'!H21-'06_BALANCE_SHEET'!H14</f>
        <v>74738.520642280419</v>
      </c>
      <c r="I12" s="30">
        <f>'06_BALANCE_SHEET'!I21-'06_BALANCE_SHEET'!I14</f>
        <v>81736.157282905828</v>
      </c>
    </row>
    <row r="13" spans="1:9">
      <c r="A13" t="s">
        <v>334</v>
      </c>
      <c r="B13" s="28">
        <f>B12/B10</f>
        <v>7.1164320685434515</v>
      </c>
      <c r="C13" s="28">
        <f>C12/C10</f>
        <v>6.5214516809677869</v>
      </c>
      <c r="D13" s="28">
        <f>D12/D10</f>
        <v>6.0406355821828601</v>
      </c>
      <c r="E13" s="30">
        <f>E12/E10</f>
        <v>6.2266250284584421</v>
      </c>
      <c r="F13" s="30">
        <f>F12/F10</f>
        <v>6.5106436663645653</v>
      </c>
      <c r="G13" s="30">
        <f>G12/G10</f>
        <v>6.7618102468163741</v>
      </c>
      <c r="H13" s="30">
        <f>H12/H10</f>
        <v>6.9673184522698621</v>
      </c>
      <c r="I13" s="30">
        <f>I12/I10</f>
        <v>7.1423140243659908</v>
      </c>
    </row>
    <row r="14" spans="1:9">
      <c r="A14" t="s">
        <v>335</v>
      </c>
      <c r="B14" s="28">
        <f>'05_INCOME_STATEMENT'!B8/ABS('05_INCOME_STATEMENT'!B12)</f>
        <v>2.6139018691588785</v>
      </c>
      <c r="C14" s="28">
        <f>'05_INCOME_STATEMENT'!C8/ABS('05_INCOME_STATEMENT'!C12)</f>
        <v>2.7304925290536803</v>
      </c>
      <c r="D14" s="28">
        <f>'05_INCOME_STATEMENT'!D8/ABS('05_INCOME_STATEMENT'!D12)</f>
        <v>3.1853372434017597</v>
      </c>
      <c r="E14" s="30">
        <f>'05_INCOME_STATEMENT'!E8/ABS('05_INCOME_STATEMENT'!E12)</f>
        <v>3.3376530904811372</v>
      </c>
      <c r="F14" s="30">
        <f>'05_INCOME_STATEMENT'!F8/ABS('05_INCOME_STATEMENT'!F12)</f>
        <v>3.0645585122843859</v>
      </c>
      <c r="G14" s="30">
        <f>'05_INCOME_STATEMENT'!G8/ABS('05_INCOME_STATEMENT'!G12)</f>
        <v>2.8270637557111078</v>
      </c>
      <c r="H14" s="30">
        <f>'05_INCOME_STATEMENT'!H8/ABS('05_INCOME_STATEMENT'!H12)</f>
        <v>2.6972729822023802</v>
      </c>
      <c r="I14" s="30">
        <f>'05_INCOME_STATEMENT'!I8/ABS('05_INCOME_STATEMENT'!I12)</f>
        <v>2.5929912257730567</v>
      </c>
    </row>
    <row r="15" spans="1:9">
      <c r="A15" t="s">
        <v>336</v>
      </c>
      <c r="B15" s="28">
        <f>'06_BALANCE_SHEET'!B21/'06_BALANCE_SHEET'!B34</f>
        <v>1.5747357152415362</v>
      </c>
      <c r="C15" s="28">
        <f>'06_BALANCE_SHEET'!C21/'06_BALANCE_SHEET'!C34</f>
        <v>1.2567810500713794</v>
      </c>
      <c r="D15" s="28">
        <f>'06_BALANCE_SHEET'!D21/'06_BALANCE_SHEET'!D34</f>
        <v>1.188787185354691</v>
      </c>
      <c r="E15" s="30">
        <f>'06_BALANCE_SHEET'!E21/'06_BALANCE_SHEET'!E34</f>
        <v>1.3029652730591719</v>
      </c>
      <c r="F15" s="30">
        <f>'06_BALANCE_SHEET'!F21/'06_BALANCE_SHEET'!F34</f>
        <v>1.4129918997472048</v>
      </c>
      <c r="G15" s="30">
        <f>'06_BALANCE_SHEET'!G21/'06_BALANCE_SHEET'!G34</f>
        <v>1.5133341035922419</v>
      </c>
      <c r="H15" s="30">
        <f>'06_BALANCE_SHEET'!H21/'06_BALANCE_SHEET'!H34</f>
        <v>1.6003873999027203</v>
      </c>
      <c r="I15" s="30">
        <f>'06_BALANCE_SHEET'!I21/'06_BALANCE_SHEET'!I34</f>
        <v>1.6755835258358192</v>
      </c>
    </row>
    <row r="16" spans="1:9">
      <c r="A16" t="s">
        <v>276</v>
      </c>
      <c r="B16" s="28">
        <f>'06_BALANCE_SHEET'!B13/'05_INCOME_STATEMENT'!B5</f>
        <v>0.17204030226700251</v>
      </c>
      <c r="C16" s="28">
        <f>'06_BALANCE_SHEET'!C13/'05_INCOME_STATEMENT'!C5</f>
        <v>0.22265752530199151</v>
      </c>
      <c r="D16" s="28">
        <f>'06_BALANCE_SHEET'!D13/'05_INCOME_STATEMENT'!D5</f>
        <v>0.21863515576412054</v>
      </c>
      <c r="E16">
        <f>'06_BALANCE_SHEET'!E13/'05_INCOME_STATEMENT'!E5</f>
        <v>0.21499999999999997</v>
      </c>
      <c r="F16">
        <f>'06_BALANCE_SHEET'!F13/'05_INCOME_STATEMENT'!F5</f>
        <v>0.215</v>
      </c>
      <c r="G16">
        <f>'06_BALANCE_SHEET'!G13/'05_INCOME_STATEMENT'!G5</f>
        <v>0.215</v>
      </c>
      <c r="H16">
        <f>'06_BALANCE_SHEET'!H13/'05_INCOME_STATEMENT'!H5</f>
        <v>0.215</v>
      </c>
      <c r="I16">
        <f>'06_BALANCE_SHEET'!I13/'05_INCOME_STATEMENT'!I5</f>
        <v>0.215</v>
      </c>
    </row>
    <row r="17" spans="1:9">
      <c r="A17" t="s">
        <v>277</v>
      </c>
      <c r="B17" s="28">
        <f>'06_BALANCE_SHEET'!B22/'05_INCOME_STATEMENT'!B5</f>
        <v>0.20534005037783376</v>
      </c>
      <c r="C17" s="28">
        <f>'06_BALANCE_SHEET'!C22/'05_INCOME_STATEMENT'!C5</f>
        <v>0.24333442159103275</v>
      </c>
      <c r="D17" s="28">
        <f>'06_BALANCE_SHEET'!D22/'05_INCOME_STATEMENT'!D5</f>
        <v>0.28546390003957711</v>
      </c>
      <c r="E17">
        <f>'06_BALANCE_SHEET'!E22/'05_INCOME_STATEMENT'!E5</f>
        <v>0.28499999999999998</v>
      </c>
      <c r="F17">
        <f>'06_BALANCE_SHEET'!F22/'05_INCOME_STATEMENT'!F5</f>
        <v>0.28499999999999998</v>
      </c>
      <c r="G17">
        <f>'06_BALANCE_SHEET'!G22/'05_INCOME_STATEMENT'!G5</f>
        <v>0.28499999999999998</v>
      </c>
      <c r="H17">
        <f>'06_BALANCE_SHEET'!H22/'05_INCOME_STATEMENT'!H5</f>
        <v>0.28499999999999998</v>
      </c>
      <c r="I17">
        <f>'06_BALANCE_SHEET'!I22/'05_INCOME_STATEMENT'!I5</f>
        <v>0.28499999999999998</v>
      </c>
    </row>
    <row r="18" spans="1:9">
      <c r="A18" t="s">
        <v>337</v>
      </c>
      <c r="B18" s="28">
        <f>'05_INCOME_STATEMENT'!B19/'06_BALANCE_SHEET'!B18</f>
        <v>2.2547673531655224E-2</v>
      </c>
      <c r="C18" s="28">
        <f>'05_INCOME_STATEMENT'!C19/'06_BALANCE_SHEET'!C18</f>
        <v>2.6503157145266156E-2</v>
      </c>
      <c r="D18" s="28">
        <f>'05_INCOME_STATEMENT'!D19/'06_BALANCE_SHEET'!D18</f>
        <v>2.9949852698072606E-2</v>
      </c>
      <c r="E18" s="29">
        <f>'05_INCOME_STATEMENT'!E19/'06_BALANCE_SHEET'!E18</f>
        <v>3.0916956406211994E-2</v>
      </c>
      <c r="F18" s="29">
        <f>'05_INCOME_STATEMENT'!F19/'06_BALANCE_SHEET'!F18</f>
        <v>2.9215965079426271E-2</v>
      </c>
      <c r="G18" s="29">
        <f>'05_INCOME_STATEMENT'!G19/'06_BALANCE_SHEET'!G18</f>
        <v>2.7525382042508435E-2</v>
      </c>
      <c r="H18" s="29">
        <f>'05_INCOME_STATEMENT'!H19/'06_BALANCE_SHEET'!H18</f>
        <v>2.6350872445040162E-2</v>
      </c>
      <c r="I18" s="29">
        <f>'05_INCOME_STATEMENT'!I19/'06_BALANCE_SHEET'!I18</f>
        <v>2.532770004314492E-2</v>
      </c>
    </row>
    <row r="19" spans="1:9">
      <c r="A19" t="s">
        <v>338</v>
      </c>
      <c r="B19" s="28">
        <f>'05_INCOME_STATEMENT'!B19/'06_BALANCE_SHEET'!B34</f>
        <v>7.4167001204335614E-2</v>
      </c>
      <c r="C19" s="28">
        <f>'05_INCOME_STATEMENT'!C19/'06_BALANCE_SHEET'!C34</f>
        <v>7.4789827103050807E-2</v>
      </c>
      <c r="D19" s="28">
        <f>'05_INCOME_STATEMENT'!D19/'06_BALANCE_SHEET'!D34</f>
        <v>8.24561403508772E-2</v>
      </c>
      <c r="E19" s="29">
        <f>'05_INCOME_STATEMENT'!E19/'06_BALANCE_SHEET'!E34</f>
        <v>8.9291103781894143E-2</v>
      </c>
      <c r="F19" s="29">
        <f>'05_INCOME_STATEMENT'!F19/'06_BALANCE_SHEET'!F34</f>
        <v>8.8147835172265113E-2</v>
      </c>
      <c r="G19" s="29">
        <f>'05_INCOME_STATEMENT'!G19/'06_BALANCE_SHEET'!G34</f>
        <v>8.6285006665764066E-2</v>
      </c>
      <c r="H19" s="29">
        <f>'05_INCOME_STATEMENT'!H19/'06_BALANCE_SHEET'!H34</f>
        <v>8.5291291741045216E-2</v>
      </c>
      <c r="I19" s="29">
        <f>'05_INCOME_STATEMENT'!I19/'06_BALANCE_SHEET'!I34</f>
        <v>8.4207832968880764E-2</v>
      </c>
    </row>
    <row r="20" spans="1:9">
      <c r="A20" t="s">
        <v>339</v>
      </c>
      <c r="B20" s="28">
        <f>'05_INCOME_STATEMENT'!B5/'06_BALANCE_SHEET'!B18</f>
        <v>0.20188151538265955</v>
      </c>
      <c r="C20" s="28">
        <f>'05_INCOME_STATEMENT'!C5/'06_BALANCE_SHEET'!C18</f>
        <v>0.17217215341664949</v>
      </c>
      <c r="D20" s="28">
        <f>'05_INCOME_STATEMENT'!D5/'06_BALANCE_SHEET'!D18</f>
        <v>0.16334352287104847</v>
      </c>
      <c r="E20" s="29">
        <f>'05_INCOME_STATEMENT'!E5/'06_BALANCE_SHEET'!E18</f>
        <v>0.16065973893766083</v>
      </c>
      <c r="F20" s="29">
        <f>'05_INCOME_STATEMENT'!F5/'06_BALANCE_SHEET'!F18</f>
        <v>0.15730234245455552</v>
      </c>
      <c r="G20" s="29">
        <f>'05_INCOME_STATEMENT'!G5/'06_BALANCE_SHEET'!G18</f>
        <v>0.15428421465076639</v>
      </c>
      <c r="H20" s="29">
        <f>'05_INCOME_STATEMENT'!H5/'06_BALANCE_SHEET'!H18</f>
        <v>0.15163252417788584</v>
      </c>
      <c r="I20" s="29">
        <f>'05_INCOME_STATEMENT'!I5/'06_BALANCE_SHEET'!I18</f>
        <v>0.14918191505409084</v>
      </c>
    </row>
    <row r="21" spans="1:9">
      <c r="E21" s="29"/>
      <c r="F21" s="29"/>
      <c r="G21" s="29"/>
      <c r="H21" s="29"/>
      <c r="I21" s="29"/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906F-03C6-4946-BB29-8305B5F540DE}">
  <dimension ref="A1:D56"/>
  <sheetViews>
    <sheetView zoomScale="132" workbookViewId="0">
      <selection activeCell="C20" sqref="C20"/>
    </sheetView>
  </sheetViews>
  <sheetFormatPr baseColWidth="10" defaultRowHeight="16"/>
  <cols>
    <col min="1" max="1" width="30.33203125" customWidth="1"/>
    <col min="2" max="2" width="14.33203125" customWidth="1"/>
    <col min="3" max="3" width="14.83203125" customWidth="1"/>
    <col min="4" max="4" width="15.83203125" customWidth="1"/>
  </cols>
  <sheetData>
    <row r="1" spans="1:4">
      <c r="A1" s="15" t="s">
        <v>375</v>
      </c>
      <c r="B1" s="15"/>
      <c r="C1" s="15"/>
      <c r="D1" s="15"/>
    </row>
    <row r="3" spans="1:4">
      <c r="A3" s="25" t="s">
        <v>341</v>
      </c>
      <c r="B3" s="25" t="s">
        <v>50</v>
      </c>
      <c r="C3" s="25" t="s">
        <v>58</v>
      </c>
      <c r="D3" s="25" t="s">
        <v>342</v>
      </c>
    </row>
    <row r="4" spans="1:4">
      <c r="A4" t="s">
        <v>180</v>
      </c>
      <c r="B4" s="78">
        <v>0.08</v>
      </c>
      <c r="C4" s="78">
        <v>0.1</v>
      </c>
      <c r="D4" s="78">
        <v>0.05</v>
      </c>
    </row>
    <row r="5" spans="1:4">
      <c r="A5" t="s">
        <v>181</v>
      </c>
      <c r="B5" s="78">
        <v>0.318</v>
      </c>
      <c r="C5" s="78">
        <v>0.32500000000000001</v>
      </c>
      <c r="D5" s="78">
        <v>0.30499999999999999</v>
      </c>
    </row>
    <row r="6" spans="1:4">
      <c r="A6" t="s">
        <v>221</v>
      </c>
      <c r="B6" s="85">
        <v>13000</v>
      </c>
      <c r="C6" s="85">
        <v>12500</v>
      </c>
      <c r="D6" s="85">
        <v>13500</v>
      </c>
    </row>
    <row r="7" spans="1:4">
      <c r="A7" t="s">
        <v>255</v>
      </c>
      <c r="B7" s="78">
        <v>3.7999999999999999E-2</v>
      </c>
      <c r="C7" s="78">
        <v>3.5000000000000003E-2</v>
      </c>
      <c r="D7" s="78">
        <v>4.2999999999999997E-2</v>
      </c>
    </row>
    <row r="8" spans="1:4">
      <c r="A8" t="s">
        <v>285</v>
      </c>
      <c r="B8" s="78">
        <v>0.5</v>
      </c>
      <c r="C8" s="78">
        <v>0.45</v>
      </c>
      <c r="D8" s="78">
        <v>0.5</v>
      </c>
    </row>
    <row r="9" spans="1:4">
      <c r="A9" t="s">
        <v>286</v>
      </c>
      <c r="B9" s="85">
        <v>500</v>
      </c>
      <c r="C9" s="85">
        <v>500</v>
      </c>
      <c r="D9" s="85">
        <v>500</v>
      </c>
    </row>
    <row r="12" spans="1:4">
      <c r="A12" s="25" t="s">
        <v>343</v>
      </c>
      <c r="B12" s="25" t="s">
        <v>50</v>
      </c>
      <c r="C12" s="25" t="s">
        <v>58</v>
      </c>
      <c r="D12" s="25" t="s">
        <v>342</v>
      </c>
    </row>
    <row r="13" spans="1:4">
      <c r="A13" t="s">
        <v>321</v>
      </c>
      <c r="B13" s="66">
        <f>'05_INCOME_STATEMENT'!D5*(1+B4)</f>
        <v>19101.960000000003</v>
      </c>
      <c r="C13" s="66">
        <f>'05_INCOME_STATEMENT'!D5*(1+C4)</f>
        <v>19455.7</v>
      </c>
      <c r="D13" s="66">
        <f>'05_INCOME_STATEMENT'!D5*(1+D4)</f>
        <v>18571.350000000002</v>
      </c>
    </row>
    <row r="14" spans="1:4">
      <c r="A14" t="s">
        <v>322</v>
      </c>
      <c r="B14" s="66">
        <f>B13*B5</f>
        <v>6074.4232800000009</v>
      </c>
      <c r="C14" s="66">
        <f>C13*C5</f>
        <v>6323.1025000000009</v>
      </c>
      <c r="D14" s="66">
        <f>D13*D5</f>
        <v>5664.2617500000006</v>
      </c>
    </row>
    <row r="15" spans="1:4">
      <c r="A15" t="s">
        <v>344</v>
      </c>
      <c r="B15" s="66">
        <f>B6*'04_DRIVERS'!$C$16</f>
        <v>11712.999999999998</v>
      </c>
      <c r="C15" s="66">
        <f>C6*'04_DRIVERS'!$C$16</f>
        <v>11262.499999999998</v>
      </c>
      <c r="D15" s="66">
        <f>D6*'04_DRIVERS'!$C$16</f>
        <v>12163.499999999998</v>
      </c>
    </row>
    <row r="16" spans="1:4">
      <c r="A16" t="s">
        <v>345</v>
      </c>
      <c r="B16" s="66">
        <f>'06_BALANCE_SHEET'!$D$8*'04_DRIVERS'!$C$17</f>
        <v>2188.4342227800948</v>
      </c>
      <c r="C16" s="66">
        <f>'06_BALANCE_SHEET'!$D$8*'04_DRIVERS'!$C$17</f>
        <v>2188.4342227800948</v>
      </c>
      <c r="D16" s="66">
        <f>'06_BALANCE_SHEET'!$D$8*'04_DRIVERS'!$C$17</f>
        <v>2188.4342227800948</v>
      </c>
    </row>
    <row r="17" spans="1:4">
      <c r="A17" t="s">
        <v>346</v>
      </c>
      <c r="B17" s="66">
        <f>B6*'04_DRIVERS'!$C$19</f>
        <v>5200</v>
      </c>
      <c r="C17" s="66">
        <f>C6*'04_DRIVERS'!$C$19</f>
        <v>5000</v>
      </c>
      <c r="D17" s="66">
        <f>D6*'04_DRIVERS'!$C$19</f>
        <v>5400</v>
      </c>
    </row>
    <row r="18" spans="1:4">
      <c r="A18" t="s">
        <v>347</v>
      </c>
      <c r="B18" s="66">
        <f>'09_DEBT'!B9*6.25%</f>
        <v>2922.1875</v>
      </c>
      <c r="C18" s="66">
        <f>'09_DEBT'!B9*6.25%</f>
        <v>2922.1875</v>
      </c>
      <c r="D18" s="66">
        <f>'09_DEBT'!B9*6.25%</f>
        <v>2922.1875</v>
      </c>
    </row>
    <row r="19" spans="1:4">
      <c r="A19" t="s">
        <v>348</v>
      </c>
      <c r="B19" s="66">
        <f>'09_DEBT'!B9+B17-B18</f>
        <v>49032.8125</v>
      </c>
      <c r="C19" s="66">
        <f>'09_DEBT'!B9+C17-C18</f>
        <v>48832.8125</v>
      </c>
      <c r="D19" s="66">
        <f>'09_DEBT'!B9+D17-D18</f>
        <v>49232.8125</v>
      </c>
    </row>
    <row r="20" spans="1:4">
      <c r="A20" t="s">
        <v>349</v>
      </c>
      <c r="B20" s="66">
        <f>('09_DEBT'!B9+B19)/2</f>
        <v>47893.90625</v>
      </c>
      <c r="C20" s="66">
        <f>('09_DEBT'!B9+C19)/2</f>
        <v>47793.90625</v>
      </c>
      <c r="D20" s="66">
        <f>('09_DEBT'!B9+D19)/2</f>
        <v>47993.90625</v>
      </c>
    </row>
    <row r="21" spans="1:4">
      <c r="A21" t="s">
        <v>324</v>
      </c>
      <c r="B21" s="66">
        <f>B20*B7</f>
        <v>1819.9684374999999</v>
      </c>
      <c r="C21" s="66">
        <f>C20*C7</f>
        <v>1672.7867187500001</v>
      </c>
      <c r="D21" s="66">
        <f>D20*D7</f>
        <v>2063.7379687499997</v>
      </c>
    </row>
    <row r="22" spans="1:4">
      <c r="A22" t="s">
        <v>350</v>
      </c>
      <c r="B22" s="66">
        <f>B14+'05_INCOME_STATEMENT'!E11-B21+'05_INCOME_STATEMENT'!E13</f>
        <v>4712.7348425000009</v>
      </c>
      <c r="C22" s="66">
        <f>C14+'05_INCOME_STATEMENT'!F11-C21+'05_INCOME_STATEMENT'!F13</f>
        <v>5110.9441812500008</v>
      </c>
      <c r="D22" s="66">
        <f>D14+'05_INCOME_STATEMENT'!G11-D21+'05_INCOME_STATEMENT'!G13</f>
        <v>4063.5710332500007</v>
      </c>
    </row>
    <row r="23" spans="1:4">
      <c r="A23" t="s">
        <v>325</v>
      </c>
      <c r="B23" s="66">
        <f>B22*(1-'04_DRIVERS'!$C$8)</f>
        <v>3675.933177150001</v>
      </c>
      <c r="C23" s="66">
        <f>C22*(1-'04_DRIVERS'!$C$8)</f>
        <v>3986.5364613750007</v>
      </c>
      <c r="D23" s="66">
        <f>D22*(1-'04_DRIVERS'!$C$8)</f>
        <v>3169.5854059350008</v>
      </c>
    </row>
    <row r="24" spans="1:4">
      <c r="A24" t="s">
        <v>351</v>
      </c>
      <c r="B24" s="66">
        <f>-B23*B8</f>
        <v>-1837.9665885750005</v>
      </c>
      <c r="C24" s="66">
        <f>-C23*C8</f>
        <v>-1793.9414076187504</v>
      </c>
      <c r="D24" s="66">
        <f>-D23*D8</f>
        <v>-1584.7927029675004</v>
      </c>
    </row>
    <row r="26" spans="1:4">
      <c r="A26" s="25" t="s">
        <v>352</v>
      </c>
      <c r="B26" s="25" t="s">
        <v>50</v>
      </c>
      <c r="C26" s="25" t="s">
        <v>58</v>
      </c>
      <c r="D26" s="25" t="s">
        <v>342</v>
      </c>
    </row>
    <row r="27" spans="1:4">
      <c r="A27" t="s">
        <v>353</v>
      </c>
      <c r="B27" s="66">
        <f>B13*'04_DRIVERS'!$B$25</f>
        <v>611.26272000000006</v>
      </c>
      <c r="C27" s="66">
        <f>C13*'04_DRIVERS'!$B$25</f>
        <v>622.58240000000001</v>
      </c>
      <c r="D27" s="66">
        <f>D13*'04_DRIVERS'!$B$25</f>
        <v>594.28320000000008</v>
      </c>
    </row>
    <row r="28" spans="1:4">
      <c r="A28" t="s">
        <v>354</v>
      </c>
      <c r="B28" s="66">
        <f>B13*'04_DRIVERS'!$B$26</f>
        <v>4106.9214000000002</v>
      </c>
      <c r="C28" s="66">
        <f>C13*'04_DRIVERS'!$B$26</f>
        <v>4182.9755000000005</v>
      </c>
      <c r="D28" s="66">
        <f>D13*'04_DRIVERS'!$B$26</f>
        <v>3992.8402500000002</v>
      </c>
    </row>
    <row r="29" spans="1:4">
      <c r="A29" t="s">
        <v>355</v>
      </c>
      <c r="B29" s="66">
        <f>B13*'04_DRIVERS'!$B$27</f>
        <v>5444.0586000000003</v>
      </c>
      <c r="C29" s="66">
        <f>C13*'04_DRIVERS'!$B$27</f>
        <v>5544.8744999999999</v>
      </c>
      <c r="D29" s="66">
        <f>D13*'04_DRIVERS'!$B$27</f>
        <v>5292.83475</v>
      </c>
    </row>
    <row r="30" spans="1:4">
      <c r="A30" t="s">
        <v>356</v>
      </c>
      <c r="B30" s="66">
        <f>'06_BALANCE_SHEET'!D23*(1+'04_DRIVERS'!$B$31)</f>
        <v>3005.63</v>
      </c>
      <c r="C30" s="66">
        <f>'06_BALANCE_SHEET'!D23*(1+'04_DRIVERS'!$B$31)</f>
        <v>3005.63</v>
      </c>
      <c r="D30" s="66">
        <f>'06_BALANCE_SHEET'!D23*(1+'04_DRIVERS'!$B$31)</f>
        <v>3005.63</v>
      </c>
    </row>
    <row r="31" spans="1:4">
      <c r="A31" t="s">
        <v>357</v>
      </c>
      <c r="B31" s="66">
        <f>-(B27-'06_BALANCE_SHEET'!D12)-(B28-'06_BALANCE_SHEET'!D13)+(B29-'06_BALANCE_SHEET'!D22)+(B30-'06_BALANCE_SHEET'!D23)</f>
        <v>299.50448000000017</v>
      </c>
      <c r="C31" s="66">
        <f>-(C27-'06_BALANCE_SHEET'!D12)-(C28-'06_BALANCE_SHEET'!D13)+(C29-'06_BALANCE_SHEET'!D22)+(C30-'06_BALANCE_SHEET'!D23)</f>
        <v>312.94659999999953</v>
      </c>
      <c r="D31" s="66">
        <f>-(D27-'06_BALANCE_SHEET'!D12)-(D28-'06_BALANCE_SHEET'!D13)+(D29-'06_BALANCE_SHEET'!D22)+(D30-'06_BALANCE_SHEET'!D23)</f>
        <v>279.34129999999982</v>
      </c>
    </row>
    <row r="32" spans="1:4">
      <c r="A32" t="s">
        <v>358</v>
      </c>
      <c r="B32" s="66">
        <f>'06_BALANCE_SHEET'!D25*'04_DRIVERS'!$B$33</f>
        <v>62.42</v>
      </c>
      <c r="C32" s="66">
        <f>'06_BALANCE_SHEET'!D25*'04_DRIVERS'!$B$33</f>
        <v>62.42</v>
      </c>
      <c r="D32" s="66">
        <f>'06_BALANCE_SHEET'!D25*'04_DRIVERS'!$B$33</f>
        <v>62.42</v>
      </c>
    </row>
    <row r="33" spans="1:4">
      <c r="A33" t="s">
        <v>359</v>
      </c>
      <c r="B33" s="66">
        <f>'06_BALANCE_SHEET'!D8+B15-B16</f>
        <v>91044.565777219905</v>
      </c>
      <c r="C33" s="66">
        <f>'06_BALANCE_SHEET'!D8+C15-C16</f>
        <v>90594.065777219905</v>
      </c>
      <c r="D33" s="66">
        <f>'06_BALANCE_SHEET'!D8+D15-D16</f>
        <v>91495.065777219905</v>
      </c>
    </row>
    <row r="34" spans="1:4">
      <c r="A34" t="s">
        <v>360</v>
      </c>
      <c r="B34" s="66">
        <f>B33*'04_DRIVERS'!$B$32</f>
        <v>10105.94680127141</v>
      </c>
      <c r="C34" s="66">
        <f>C33*'04_DRIVERS'!$B$32</f>
        <v>10055.94130127141</v>
      </c>
      <c r="D34" s="66">
        <f>D33*'04_DRIVERS'!$B$32</f>
        <v>10155.952301271409</v>
      </c>
    </row>
    <row r="35" spans="1:4">
      <c r="A35" t="s">
        <v>361</v>
      </c>
      <c r="B35" s="66">
        <f>B13*'04_DRIVERS'!$B$34</f>
        <v>2349.5410800000004</v>
      </c>
      <c r="C35" s="66">
        <f>C13*'04_DRIVERS'!$B$34</f>
        <v>2393.0511000000001</v>
      </c>
      <c r="D35" s="66">
        <f>D13*'04_DRIVERS'!$B$34</f>
        <v>2284.2760500000004</v>
      </c>
    </row>
    <row r="36" spans="1:4">
      <c r="A36" t="s">
        <v>362</v>
      </c>
      <c r="B36" s="66">
        <f>'05_INCOME_STATEMENT'!$E$11+'05_INCOME_STATEMENT'!$E$13+(B34-'06_BALANCE_SHEET'!$D$24)+(B35-'06_BALANCE_SHEET'!$D$26)</f>
        <v>1696.76788127141</v>
      </c>
      <c r="C36" s="66">
        <f>'05_INCOME_STATEMENT'!$E$11+'05_INCOME_STATEMENT'!$E$13+(C34-'06_BALANCE_SHEET'!$D$24)+(C35-'06_BALANCE_SHEET'!$D$26)</f>
        <v>1690.2724012714104</v>
      </c>
      <c r="D36" s="66">
        <f>'05_INCOME_STATEMENT'!$E$11+'05_INCOME_STATEMENT'!$E$13+(D34-'06_BALANCE_SHEET'!$D$24)+(D35-'06_BALANCE_SHEET'!$D$26)</f>
        <v>1681.5083512714093</v>
      </c>
    </row>
    <row r="37" spans="1:4">
      <c r="A37" t="s">
        <v>363</v>
      </c>
      <c r="B37" s="66">
        <f>B16+('06_BALANCE_SHEET'!$D$7*'04_DRIVERS'!$B$38)</f>
        <v>2459.964222780095</v>
      </c>
      <c r="C37" s="66">
        <f>C16+('06_BALANCE_SHEET'!$D$7*'04_DRIVERS'!$B$38)</f>
        <v>2459.964222780095</v>
      </c>
      <c r="D37" s="66">
        <f>D16+('06_BALANCE_SHEET'!$D$7*'04_DRIVERS'!$B$38)</f>
        <v>2459.964222780095</v>
      </c>
    </row>
    <row r="38" spans="1:4">
      <c r="A38" t="s">
        <v>364</v>
      </c>
      <c r="B38" s="66">
        <f>-B22*'04_DRIVERS'!$C$8</f>
        <v>-1036.8016653500001</v>
      </c>
      <c r="C38" s="66">
        <f>-C22*'04_DRIVERS'!$C$8</f>
        <v>-1124.4077198750001</v>
      </c>
      <c r="D38" s="66">
        <f>-D22*'04_DRIVERS'!$C$8</f>
        <v>-893.98562731500022</v>
      </c>
    </row>
    <row r="39" spans="1:4">
      <c r="A39" t="s">
        <v>323</v>
      </c>
      <c r="B39" s="66">
        <f>B14+B37+B31+B32+B36+B38</f>
        <v>9556.278198701506</v>
      </c>
      <c r="C39" s="66">
        <f>C14+C37+C31+C32+C36+C38</f>
        <v>9724.298004176504</v>
      </c>
      <c r="D39" s="66">
        <f>D14+D37+D31+D32+D36+D38</f>
        <v>9253.5099967365059</v>
      </c>
    </row>
    <row r="41" spans="1:4">
      <c r="A41" s="25" t="s">
        <v>365</v>
      </c>
      <c r="B41" s="25" t="s">
        <v>50</v>
      </c>
      <c r="C41" s="25" t="s">
        <v>58</v>
      </c>
      <c r="D41" s="25" t="s">
        <v>342</v>
      </c>
    </row>
    <row r="42" spans="1:4">
      <c r="A42" t="s">
        <v>366</v>
      </c>
      <c r="B42" s="66">
        <f>'06_BALANCE_SHEET'!D7*(1+'04_DRIVERS'!$B$29)</f>
        <v>4072.9500000000003</v>
      </c>
      <c r="C42" s="66">
        <f>'06_BALANCE_SHEET'!D7*(1+'04_DRIVERS'!$B$29)</f>
        <v>4072.9500000000003</v>
      </c>
      <c r="D42" s="66">
        <f>'06_BALANCE_SHEET'!D7*(1+'04_DRIVERS'!$B$29)</f>
        <v>4072.9500000000003</v>
      </c>
    </row>
    <row r="43" spans="1:4">
      <c r="A43" t="s">
        <v>367</v>
      </c>
      <c r="B43" s="66">
        <f>-((B42-'06_BALANCE_SHEET'!D7)+('06_BALANCE_SHEET'!D7*'04_DRIVERS'!$B$38))</f>
        <v>-465.4800000000003</v>
      </c>
      <c r="C43" s="66">
        <f>-((C42-'06_BALANCE_SHEET'!D7)+('06_BALANCE_SHEET'!D7*'04_DRIVERS'!$B$38))</f>
        <v>-465.4800000000003</v>
      </c>
      <c r="D43" s="66">
        <f>-((D42-'06_BALANCE_SHEET'!D7)+('06_BALANCE_SHEET'!D7*'04_DRIVERS'!$B$38))</f>
        <v>-465.4800000000003</v>
      </c>
    </row>
    <row r="44" spans="1:4">
      <c r="A44" t="s">
        <v>368</v>
      </c>
      <c r="B44" s="66">
        <f>-B15</f>
        <v>-11712.999999999998</v>
      </c>
      <c r="C44" s="66">
        <f>-C15</f>
        <v>-11262.499999999998</v>
      </c>
      <c r="D44" s="66">
        <f>-D15</f>
        <v>-12163.499999999998</v>
      </c>
    </row>
    <row r="45" spans="1:4">
      <c r="A45" t="s">
        <v>369</v>
      </c>
      <c r="B45" s="66">
        <f>-(('06_BALANCE_SHEET'!D9*(1+'04_DRIVERS'!$B$30))-'06_BALANCE_SHEET'!D9)-(B13*'04_DRIVERS'!$B$28-'06_BALANCE_SHEET'!D15)</f>
        <v>-480.29400000000032</v>
      </c>
      <c r="C45" s="66">
        <f>-(('06_BALANCE_SHEET'!D9*(1+'04_DRIVERS'!$B$30))-'06_BALANCE_SHEET'!D9)-(C13*'04_DRIVERS'!$B$28-'06_BALANCE_SHEET'!D15)</f>
        <v>-533.35500000000002</v>
      </c>
      <c r="D45" s="66">
        <f>-(('06_BALANCE_SHEET'!D9*(1+'04_DRIVERS'!$B$30))-'06_BALANCE_SHEET'!D9)-(D13*'04_DRIVERS'!$B$28-'06_BALANCE_SHEET'!D15)</f>
        <v>-400.70250000000033</v>
      </c>
    </row>
    <row r="46" spans="1:4">
      <c r="A46" t="s">
        <v>370</v>
      </c>
      <c r="B46" s="66">
        <f>SUM(B43:B45)</f>
        <v>-12658.773999999998</v>
      </c>
      <c r="C46" s="66">
        <f>SUM(C43:C45)</f>
        <v>-12261.334999999997</v>
      </c>
      <c r="D46" s="66">
        <f>SUM(D43:D45)</f>
        <v>-13029.682499999999</v>
      </c>
    </row>
    <row r="48" spans="1:4">
      <c r="A48" s="25" t="s">
        <v>371</v>
      </c>
      <c r="B48" s="25" t="s">
        <v>50</v>
      </c>
      <c r="C48" s="25" t="s">
        <v>58</v>
      </c>
      <c r="D48" s="25" t="s">
        <v>342</v>
      </c>
    </row>
    <row r="49" spans="1:4">
      <c r="A49" t="s">
        <v>372</v>
      </c>
      <c r="B49" s="66">
        <f>'06_BALANCE_SHEET'!D14+B39+B46+B17-B18-B21+B24</f>
        <v>-4107.6183273734914</v>
      </c>
      <c r="C49" s="66">
        <f>'06_BALANCE_SHEET'!D14+C39+C46+C17-C18-C21+C24</f>
        <v>-3550.9526221922438</v>
      </c>
      <c r="D49" s="66">
        <f>'06_BALANCE_SHEET'!D14+D39+D46+D17-D18-D21+D24</f>
        <v>-4571.890674980993</v>
      </c>
    </row>
    <row r="50" spans="1:4">
      <c r="A50" t="s">
        <v>327</v>
      </c>
      <c r="B50" s="66">
        <f>MAX(0,B9-B49)</f>
        <v>4607.6183273734914</v>
      </c>
      <c r="C50" s="66">
        <f>MAX(0,C9-C49)</f>
        <v>4050.9526221922438</v>
      </c>
      <c r="D50" s="66">
        <f>MAX(0,D9-D49)</f>
        <v>5071.890674980993</v>
      </c>
    </row>
    <row r="51" spans="1:4">
      <c r="A51" t="s">
        <v>373</v>
      </c>
      <c r="B51" s="66">
        <f>B49+B50</f>
        <v>500</v>
      </c>
      <c r="C51" s="66">
        <f>C49+C50</f>
        <v>500</v>
      </c>
      <c r="D51" s="66">
        <f>D49+D50</f>
        <v>500</v>
      </c>
    </row>
    <row r="52" spans="1:4">
      <c r="A52" t="s">
        <v>326</v>
      </c>
      <c r="B52" s="66">
        <f>'09_DEBT'!B9+B17+B50-B18</f>
        <v>53640.430827373493</v>
      </c>
      <c r="C52" s="66">
        <f>'09_DEBT'!B9+C17+C50-C18</f>
        <v>52883.765122192242</v>
      </c>
      <c r="D52" s="66">
        <f>'09_DEBT'!B9+D17+D50-D18</f>
        <v>54304.70317498099</v>
      </c>
    </row>
    <row r="53" spans="1:4">
      <c r="A53" t="s">
        <v>333</v>
      </c>
      <c r="B53" s="66">
        <f>B52-B51</f>
        <v>53140.430827373493</v>
      </c>
      <c r="C53" s="66">
        <f>C52-C51</f>
        <v>52383.765122192242</v>
      </c>
      <c r="D53" s="66">
        <f>D52-D51</f>
        <v>53804.70317498099</v>
      </c>
    </row>
    <row r="54" spans="1:4">
      <c r="A54" t="s">
        <v>331</v>
      </c>
      <c r="B54" s="66">
        <f>B14+B37</f>
        <v>8534.3875027800968</v>
      </c>
      <c r="C54" s="66">
        <f>C14+C37</f>
        <v>8783.066722780095</v>
      </c>
      <c r="D54" s="66">
        <f>D14+D37</f>
        <v>8124.2259727800956</v>
      </c>
    </row>
    <row r="55" spans="1:4">
      <c r="A55" t="s">
        <v>374</v>
      </c>
      <c r="B55" s="66">
        <f>B53/B54</f>
        <v>6.2266250284584421</v>
      </c>
      <c r="C55" s="66">
        <f>C53/C54</f>
        <v>5.9641770665737655</v>
      </c>
      <c r="D55" s="66">
        <f>D53/D54</f>
        <v>6.6227482292161204</v>
      </c>
    </row>
    <row r="56" spans="1:4">
      <c r="A56" t="s">
        <v>335</v>
      </c>
      <c r="B56" s="66">
        <f>B14/B21</f>
        <v>3.3376530904811372</v>
      </c>
      <c r="C56" s="66">
        <f>C14/C21</f>
        <v>3.7799812905765879</v>
      </c>
      <c r="D56" s="66">
        <f>D14/D21</f>
        <v>2.7446613067020462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3D2-BF03-EF49-8A55-28D7A21959F9}">
  <dimension ref="A1:F54"/>
  <sheetViews>
    <sheetView topLeftCell="A9" workbookViewId="0">
      <selection activeCell="D40" sqref="D40"/>
    </sheetView>
  </sheetViews>
  <sheetFormatPr baseColWidth="10" defaultRowHeight="16"/>
  <cols>
    <col min="1" max="1" width="36.83203125" customWidth="1"/>
  </cols>
  <sheetData>
    <row r="1" spans="1:6">
      <c r="A1" t="s">
        <v>376</v>
      </c>
    </row>
    <row r="3" spans="1:6">
      <c r="A3" t="s">
        <v>377</v>
      </c>
      <c r="B3" t="s">
        <v>378</v>
      </c>
    </row>
    <row r="4" spans="1:6">
      <c r="A4" t="s">
        <v>379</v>
      </c>
      <c r="B4" s="84">
        <v>0.05</v>
      </c>
    </row>
    <row r="5" spans="1:6">
      <c r="A5" t="s">
        <v>380</v>
      </c>
      <c r="B5" s="84">
        <v>2.5000000000000001E-2</v>
      </c>
    </row>
    <row r="6" spans="1:6">
      <c r="A6" t="s">
        <v>381</v>
      </c>
      <c r="B6" s="84">
        <v>6.5000000000000002E-2</v>
      </c>
    </row>
    <row r="7" spans="1:6">
      <c r="A7" t="s">
        <v>382</v>
      </c>
      <c r="B7" s="18">
        <f>'06_BALANCE_SHEET'!D21-'06_BALANCE_SHEET'!D14</f>
        <v>46380</v>
      </c>
    </row>
    <row r="8" spans="1:6">
      <c r="A8" t="s">
        <v>383</v>
      </c>
      <c r="B8" s="18">
        <v>4971</v>
      </c>
    </row>
    <row r="9" spans="1:6">
      <c r="A9" t="s">
        <v>384</v>
      </c>
      <c r="B9" s="18">
        <v>1150.5</v>
      </c>
    </row>
    <row r="10" spans="1:6">
      <c r="A10" t="s">
        <v>385</v>
      </c>
      <c r="B10" s="86">
        <v>46269</v>
      </c>
    </row>
    <row r="12" spans="1:6">
      <c r="A12" s="25" t="s">
        <v>386</v>
      </c>
      <c r="B12" s="25" t="s">
        <v>215</v>
      </c>
      <c r="C12" s="25" t="s">
        <v>216</v>
      </c>
      <c r="D12" s="25" t="s">
        <v>217</v>
      </c>
      <c r="E12" s="25" t="s">
        <v>218</v>
      </c>
      <c r="F12" s="25" t="s">
        <v>219</v>
      </c>
    </row>
    <row r="13" spans="1:6">
      <c r="A13" t="s">
        <v>387</v>
      </c>
      <c r="B13" s="53">
        <f>'05_INCOME_STATEMENT'!E8</f>
        <v>6074.4232800000009</v>
      </c>
      <c r="C13" s="53">
        <f>'05_INCOME_STATEMENT'!F8</f>
        <v>6540.5111040000011</v>
      </c>
      <c r="D13" s="53">
        <f>'05_INCOME_STATEMENT'!G8</f>
        <v>6987.4119642780015</v>
      </c>
      <c r="E13" s="53">
        <f>'05_INCOME_STATEMENT'!H8</f>
        <v>7429.7303789637608</v>
      </c>
      <c r="F13" s="53">
        <f>'05_INCOME_STATEMENT'!I8</f>
        <v>7862.7082999614468</v>
      </c>
    </row>
    <row r="14" spans="1:6">
      <c r="A14" t="s">
        <v>388</v>
      </c>
      <c r="B14" s="43">
        <f>'05_INCOME_STATEMENT'!E16</f>
        <v>0.22</v>
      </c>
      <c r="C14" s="43">
        <f>'05_INCOME_STATEMENT'!F16</f>
        <v>0.22</v>
      </c>
      <c r="D14" s="43">
        <f>'05_INCOME_STATEMENT'!G16</f>
        <v>0.22</v>
      </c>
      <c r="E14" s="43">
        <f>'05_INCOME_STATEMENT'!H16</f>
        <v>0.22</v>
      </c>
      <c r="F14" s="43">
        <f>'05_INCOME_STATEMENT'!I16</f>
        <v>0.22</v>
      </c>
    </row>
    <row r="15" spans="1:6">
      <c r="A15" t="s">
        <v>389</v>
      </c>
      <c r="B15" s="87">
        <f>B13*(1-B14)</f>
        <v>4738.0501584000012</v>
      </c>
      <c r="C15" s="87">
        <f>C13*(1-C14)</f>
        <v>5101.5986611200015</v>
      </c>
      <c r="D15" s="87">
        <f>D13*(1-D14)</f>
        <v>5450.1813321368418</v>
      </c>
      <c r="E15" s="87">
        <f>E13*(1-E14)</f>
        <v>5795.1896955917337</v>
      </c>
      <c r="F15" s="87">
        <f>F13*(1-F14)</f>
        <v>6132.9124739699291</v>
      </c>
    </row>
    <row r="16" spans="1:6">
      <c r="A16" t="s">
        <v>363</v>
      </c>
      <c r="B16" s="87">
        <f>'07_CASH_FLOW'!E5</f>
        <v>2459.964222780095</v>
      </c>
      <c r="C16" s="87">
        <f>'07_CASH_FLOW'!F5</f>
        <v>2729.2311754786733</v>
      </c>
      <c r="D16" s="87">
        <f>'07_CASH_FLOW'!G5</f>
        <v>3011.6629891274019</v>
      </c>
      <c r="E16" s="87">
        <f>'07_CASH_FLOW'!H5</f>
        <v>3297.2833429268426</v>
      </c>
      <c r="F16" s="87">
        <f>'07_CASH_FLOW'!I5</f>
        <v>3581.2238772101382</v>
      </c>
    </row>
    <row r="17" spans="1:6">
      <c r="A17" t="s">
        <v>357</v>
      </c>
      <c r="B17" s="87">
        <f>'07_CASH_FLOW'!E6</f>
        <v>299.50448000000017</v>
      </c>
      <c r="C17" s="87">
        <f>'07_CASH_FLOW'!F6</f>
        <v>261.20531359999995</v>
      </c>
      <c r="D17" s="87">
        <f>'07_CASH_FLOW'!G6</f>
        <v>275.60625708399959</v>
      </c>
      <c r="E17" s="87">
        <f>'07_CASH_FLOW'!H6</f>
        <v>290.51042091104034</v>
      </c>
      <c r="F17" s="87">
        <f>'07_CASH_FLOW'!I6</f>
        <v>305.96584581907757</v>
      </c>
    </row>
    <row r="18" spans="1:6">
      <c r="A18" t="s">
        <v>390</v>
      </c>
      <c r="B18" s="87">
        <f>'07_CASH_FLOW'!E7</f>
        <v>62.420000000000073</v>
      </c>
      <c r="C18" s="87">
        <f>'07_CASH_FLOW'!F7</f>
        <v>63.66840000000002</v>
      </c>
      <c r="D18" s="87">
        <f>'07_CASH_FLOW'!G7</f>
        <v>64.941768000000138</v>
      </c>
      <c r="E18" s="87">
        <f>'07_CASH_FLOW'!H7</f>
        <v>66.240603360000023</v>
      </c>
      <c r="F18" s="87">
        <f>'07_CASH_FLOW'!I7</f>
        <v>67.565415427200151</v>
      </c>
    </row>
    <row r="19" spans="1:6">
      <c r="A19" t="s">
        <v>391</v>
      </c>
      <c r="B19" s="87">
        <f>'06_BALANCE_SHEET'!E24-'06_BALANCE_SHEET'!D24</f>
        <v>1065.9468012714096</v>
      </c>
      <c r="C19" s="87">
        <f>'06_BALANCE_SHEET'!F24-'06_BALANCE_SHEET'!E24</f>
        <v>1108.8539610218686</v>
      </c>
      <c r="D19" s="87">
        <f>'06_BALANCE_SHEET'!G24-'06_BALANCE_SHEET'!F24</f>
        <v>1119.0907707818569</v>
      </c>
      <c r="E19" s="87">
        <f>'06_BALANCE_SHEET'!H24-'06_BALANCE_SHEET'!G24</f>
        <v>1109.05056963887</v>
      </c>
      <c r="F19" s="87">
        <f>'06_BALANCE_SHEET'!I24-'06_BALANCE_SHEET'!H24</f>
        <v>1099.2799013686108</v>
      </c>
    </row>
    <row r="20" spans="1:6">
      <c r="A20" t="s">
        <v>392</v>
      </c>
      <c r="B20" s="87">
        <f>'06_BALANCE_SHEET'!E26-'06_BALANCE_SHEET'!D26</f>
        <v>172.54108000000042</v>
      </c>
      <c r="C20" s="87">
        <f>'06_BALANCE_SHEET'!F26-'06_BALANCE_SHEET'!E26</f>
        <v>164.46787559999984</v>
      </c>
      <c r="D20" s="87">
        <f>'06_BALANCE_SHEET'!G26-'06_BALANCE_SHEET'!F26</f>
        <v>163.41058211400014</v>
      </c>
      <c r="E20" s="87">
        <f>'06_BALANCE_SHEET'!H26-'06_BALANCE_SHEET'!G26</f>
        <v>160.64517226283988</v>
      </c>
      <c r="F20" s="87">
        <f>'06_BALANCE_SHEET'!I26-'06_BALANCE_SHEET'!H26</f>
        <v>156.09355904872609</v>
      </c>
    </row>
    <row r="21" spans="1:6">
      <c r="A21" t="s">
        <v>370</v>
      </c>
      <c r="B21" s="87">
        <f>'07_CASH_FLOW'!E15</f>
        <v>-12658.773999999998</v>
      </c>
      <c r="C21" s="87">
        <f>'07_CASH_FLOW'!F15</f>
        <v>-13437.07458</v>
      </c>
      <c r="D21" s="87">
        <f>'07_CASH_FLOW'!G15</f>
        <v>-13836.320397700001</v>
      </c>
      <c r="E21" s="87">
        <f>'07_CASH_FLOW'!H15</f>
        <v>-14055.289906662001</v>
      </c>
      <c r="F21" s="87">
        <f>'07_CASH_FLOW'!I15</f>
        <v>-14274.18821683991</v>
      </c>
    </row>
    <row r="22" spans="1:6">
      <c r="A22" t="s">
        <v>393</v>
      </c>
      <c r="B22" s="87">
        <f>SUM(B15:B20)+B21</f>
        <v>-3860.3472575484902</v>
      </c>
      <c r="C22" s="87">
        <f>SUM(C15:C20)+C21</f>
        <v>-4008.0491931794568</v>
      </c>
      <c r="D22" s="87">
        <f>SUM(D15:D20)+D21</f>
        <v>-3751.4266984558999</v>
      </c>
      <c r="E22" s="87">
        <f>SUM(E15:E20)+E21</f>
        <v>-3336.370101970675</v>
      </c>
      <c r="F22" s="87">
        <f>SUM(F15:F20)+F21</f>
        <v>-2931.1471439962297</v>
      </c>
    </row>
    <row r="23" spans="1:6">
      <c r="A23" t="s">
        <v>394</v>
      </c>
      <c r="B23">
        <v>1</v>
      </c>
      <c r="C23">
        <v>2</v>
      </c>
      <c r="D23">
        <v>3</v>
      </c>
      <c r="E23">
        <v>4</v>
      </c>
      <c r="F23">
        <v>5</v>
      </c>
    </row>
    <row r="24" spans="1:6">
      <c r="A24" t="s">
        <v>395</v>
      </c>
      <c r="B24">
        <f>1/(1+$B$4)^B23</f>
        <v>0.95238095238095233</v>
      </c>
      <c r="C24">
        <f>1/(1+$B$4)^C23</f>
        <v>0.90702947845804982</v>
      </c>
      <c r="D24">
        <f>1/(1+$B$4)^D23</f>
        <v>0.86383759853147601</v>
      </c>
      <c r="E24">
        <f>1/(1+$B$4)^E23</f>
        <v>0.82270247479188197</v>
      </c>
      <c r="F24">
        <f>1/(1+$B$4)^F23</f>
        <v>0.78352616646845896</v>
      </c>
    </row>
    <row r="25" spans="1:6">
      <c r="A25" t="s">
        <v>396</v>
      </c>
      <c r="B25" s="87">
        <f>B22*B24</f>
        <v>-3676.5211976652286</v>
      </c>
      <c r="C25" s="87">
        <f>C22*C24</f>
        <v>-3635.41876932377</v>
      </c>
      <c r="D25" s="87">
        <f>D22*D24</f>
        <v>-3240.6234302610083</v>
      </c>
      <c r="E25" s="87">
        <f>E22*E24</f>
        <v>-2744.8399397129178</v>
      </c>
      <c r="F25" s="87">
        <f>F22*F24</f>
        <v>-2296.630485090338</v>
      </c>
    </row>
    <row r="28" spans="1:6">
      <c r="A28" t="s">
        <v>397</v>
      </c>
      <c r="B28" t="s">
        <v>378</v>
      </c>
    </row>
    <row r="29" spans="1:6">
      <c r="A29" t="s">
        <v>398</v>
      </c>
      <c r="B29" s="87">
        <f>F15</f>
        <v>6132.9124739699291</v>
      </c>
    </row>
    <row r="30" spans="1:6">
      <c r="A30" t="s">
        <v>380</v>
      </c>
      <c r="B30" s="35">
        <f>$B$5</f>
        <v>2.5000000000000001E-2</v>
      </c>
    </row>
    <row r="31" spans="1:6">
      <c r="A31" t="s">
        <v>381</v>
      </c>
      <c r="B31" s="35">
        <f>$B$6</f>
        <v>6.5000000000000002E-2</v>
      </c>
    </row>
    <row r="32" spans="1:6">
      <c r="A32" t="s">
        <v>399</v>
      </c>
      <c r="B32" s="87">
        <f>B30/B31</f>
        <v>0.38461538461538464</v>
      </c>
    </row>
    <row r="33" spans="1:2">
      <c r="A33" t="s">
        <v>400</v>
      </c>
      <c r="B33" s="87">
        <f>B29*(1-B32)</f>
        <v>3774.0999839814949</v>
      </c>
    </row>
    <row r="34" spans="1:2">
      <c r="A34" t="s">
        <v>401</v>
      </c>
      <c r="B34" s="87">
        <f>B33*(1+B30)/($B$4-B30)</f>
        <v>154738.09934324128</v>
      </c>
    </row>
    <row r="35" spans="1:2">
      <c r="A35" t="s">
        <v>402</v>
      </c>
      <c r="B35" s="87">
        <f>B34/(1+$B$4)^5</f>
        <v>121241.34978502541</v>
      </c>
    </row>
    <row r="36" spans="1:2">
      <c r="A36" t="s">
        <v>403</v>
      </c>
      <c r="B36" s="87">
        <f>SUM(B25:F25)</f>
        <v>-15594.033822053263</v>
      </c>
    </row>
    <row r="37" spans="1:2">
      <c r="A37" t="s">
        <v>404</v>
      </c>
      <c r="B37" s="87">
        <f>B35+B36</f>
        <v>105647.31596297215</v>
      </c>
    </row>
    <row r="38" spans="1:2">
      <c r="A38" t="s">
        <v>405</v>
      </c>
      <c r="B38" s="87">
        <f>-$B$7</f>
        <v>-46380</v>
      </c>
    </row>
    <row r="39" spans="1:2">
      <c r="A39" t="s">
        <v>406</v>
      </c>
      <c r="B39" s="87">
        <f>B37+B38</f>
        <v>59267.315962972149</v>
      </c>
    </row>
    <row r="40" spans="1:2">
      <c r="A40" t="s">
        <v>383</v>
      </c>
      <c r="B40" s="87">
        <f>$B$8</f>
        <v>4971</v>
      </c>
    </row>
    <row r="41" spans="1:2">
      <c r="A41" t="s">
        <v>407</v>
      </c>
      <c r="B41" s="87">
        <f>B39/B40</f>
        <v>11.922614355858409</v>
      </c>
    </row>
    <row r="42" spans="1:2">
      <c r="A42" t="s">
        <v>408</v>
      </c>
      <c r="B42" s="87">
        <f>B41*100</f>
        <v>1192.2614355858409</v>
      </c>
    </row>
    <row r="43" spans="1:2">
      <c r="A43" t="s">
        <v>384</v>
      </c>
      <c r="B43" s="87">
        <f>$B$9</f>
        <v>1150.5</v>
      </c>
    </row>
    <row r="44" spans="1:2">
      <c r="A44" t="s">
        <v>409</v>
      </c>
      <c r="B44">
        <f>B42/B43-1</f>
        <v>3.6298509852969119E-2</v>
      </c>
    </row>
    <row r="48" spans="1:2">
      <c r="A48" t="s">
        <v>410</v>
      </c>
    </row>
    <row r="49" spans="1:6">
      <c r="A49" t="s">
        <v>411</v>
      </c>
      <c r="B49" s="35">
        <v>4.4999999999999998E-2</v>
      </c>
      <c r="C49" s="35">
        <v>4.7500000000000001E-2</v>
      </c>
      <c r="D49" s="35">
        <v>0.05</v>
      </c>
      <c r="E49" s="35">
        <v>5.2499999999999998E-2</v>
      </c>
      <c r="F49" s="35">
        <v>5.5E-2</v>
      </c>
    </row>
    <row r="50" spans="1:6">
      <c r="A50" s="35">
        <v>0.02</v>
      </c>
      <c r="B50" s="88" cm="1">
        <f t="array" ref="B50">((SUMPRODUCT($B$22:$F$22,1/(1+B$49)^$B$23:$F$23)+((($F$15*(1-$A50/$B$6))*(1+$A50)/(B$49-$A50))/(1+B$49)^5)-$B$7)/$B$8*100)</f>
        <v>1545.5226442738231</v>
      </c>
      <c r="C50" s="88" cm="1">
        <f t="array" ref="C50">((SUMPRODUCT($B$22:$F$22,1/(1+C$49)^$B$23:$F$23)+((($F$15*(1-$A50/$B$6))*(1+$A50)/(C$49-$A50))/(1+C$49)^5)-$B$7)/$B$8*100)</f>
        <v>1263.2106373448919</v>
      </c>
      <c r="D50" s="88" cm="1">
        <f t="array" ref="D50">((SUMPRODUCT($B$22:$F$22,1/(1+D$49)^$B$23:$F$23)+((($F$15*(1-$A50/$B$6))*(1+$A50)/(D$49-$A50))/(1+D$49)^5)-$B$7)/$B$8*100)</f>
        <v>1028.6717805089218</v>
      </c>
      <c r="E50" s="88" cm="1">
        <f t="array" ref="E50">((SUMPRODUCT($B$22:$F$22,1/(1+E$49)^$B$23:$F$23)+((($F$15*(1-$A50/$B$6))*(1+$A50)/(E$49-$A50))/(1+E$49)^5)-$B$7)/$B$8*100)</f>
        <v>830.87067594475934</v>
      </c>
      <c r="F50" s="88" cm="1">
        <f t="array" ref="F50">((SUMPRODUCT($B$22:$F$22,1/(1+F$49)^$B$23:$F$23)+((($F$15*(1-$A50/$B$6))*(1+$A50)/(F$49-$A50))/(1+F$49)^5)-$B$7)/$B$8*100)</f>
        <v>661.92508413059124</v>
      </c>
    </row>
    <row r="51" spans="1:6">
      <c r="A51" s="35">
        <v>2.2499999999999999E-2</v>
      </c>
      <c r="B51" s="88" cm="1">
        <f t="array" ref="B51">((SUMPRODUCT($B$22:$F$22,1/(1+B$49)^$B$23:$F$23)+((($F$15*(1-$A51/$B$6))*(1+$A51)/(B$49-$A51))/(1+B$49)^5)-$B$7)/$B$8*100)</f>
        <v>1690.8093861867712</v>
      </c>
      <c r="C51" s="88" cm="1">
        <f t="array" ref="C51">((SUMPRODUCT($B$22:$F$22,1/(1+C$49)^$B$23:$F$23)+((($F$15*(1-$A51/$B$6))*(1+$A51)/(C$49-$A51))/(1+C$49)^5)-$B$7)/$B$8*100)</f>
        <v>1367.2957854669282</v>
      </c>
      <c r="D51" s="88" cm="1">
        <f t="array" ref="D51">((SUMPRODUCT($B$22:$F$22,1/(1+D$49)^$B$23:$F$23)+((($F$15*(1-$A51/$B$6))*(1+$A51)/(D$49-$A51))/(1+D$49)^5)-$B$7)/$B$8*100)</f>
        <v>1103.3687097899112</v>
      </c>
      <c r="E51" s="88" cm="1">
        <f t="array" ref="E51">((SUMPRODUCT($B$22:$F$22,1/(1+E$49)^$B$23:$F$23)+((($F$15*(1-$A51/$B$6))*(1+$A51)/(E$49-$A51))/(1+E$49)^5)-$B$7)/$B$8*100)</f>
        <v>884.12012234141366</v>
      </c>
      <c r="F51" s="88" cm="1">
        <f t="array" ref="F51">((SUMPRODUCT($B$22:$F$22,1/(1+F$49)^$B$23:$F$23)+((($F$15*(1-$A51/$B$6))*(1+$A51)/(F$49-$A51))/(1+F$49)^5)-$B$7)/$B$8*100)</f>
        <v>699.2292708263036</v>
      </c>
    </row>
    <row r="52" spans="1:6">
      <c r="A52" s="35">
        <v>2.5000000000000001E-2</v>
      </c>
      <c r="B52" s="88" cm="1">
        <f t="array" ref="B52">((SUMPRODUCT($B$22:$F$22,1/(1+B$49)^$B$23:$F$23)+((($F$15*(1-$A52/$B$6))*(1+$A52)/(B$49-$A52))/(1+B$49)^5)-$B$7)/$B$8*100)</f>
        <v>1871.4658765677534</v>
      </c>
      <c r="C52" s="88" cm="1">
        <f t="array" ref="C52">((SUMPRODUCT($B$22:$F$22,1/(1+C$49)^$B$23:$F$23)+((($F$15*(1-$A52/$B$6))*(1+$A52)/(C$49-$A52))/(1+C$49)^5)-$B$7)/$B$8*100)</f>
        <v>1493.6748496397877</v>
      </c>
      <c r="D52" s="88" cm="1">
        <f t="array" ref="D52">((SUMPRODUCT($B$22:$F$22,1/(1+D$49)^$B$23:$F$23)+((($F$15*(1-$A52/$B$6))*(1+$A52)/(D$49-$A52))/(1+D$49)^5)-$B$7)/$B$8*100)</f>
        <v>1192.2614355858409</v>
      </c>
      <c r="E52" s="88" cm="1">
        <f t="array" ref="E52">((SUMPRODUCT($B$22:$F$22,1/(1+E$49)^$B$23:$F$23)+((($F$15*(1-$A52/$B$6))*(1+$A52)/(E$49-$A52))/(1+E$49)^5)-$B$7)/$B$8*100)</f>
        <v>946.38328629385205</v>
      </c>
      <c r="F52" s="88" cm="1">
        <f t="array" ref="F52">((SUMPRODUCT($B$22:$F$22,1/(1+F$49)^$B$23:$F$23)+((($F$15*(1-$A52/$B$6))*(1+$A52)/(F$49-$A52))/(1+F$49)^5)-$B$7)/$B$8*100)</f>
        <v>742.14570949548863</v>
      </c>
    </row>
    <row r="53" spans="1:6">
      <c r="A53" s="35">
        <v>2.75E-2</v>
      </c>
      <c r="B53" s="88" cm="1">
        <f t="array" ref="B53">((SUMPRODUCT($B$22:$F$22,1/(1+B$49)^$B$23:$F$23)+((($F$15*(1-$A53/$B$6))*(1+$A53)/(B$49-$A53))/(1+B$49)^5)-$B$7)/$B$8*100)</f>
        <v>2102.6505790459255</v>
      </c>
      <c r="C53" s="88" cm="1">
        <f t="array" ref="C53">((SUMPRODUCT($B$22:$F$22,1/(1+C$49)^$B$23:$F$23)+((($F$15*(1-$A53/$B$6))*(1+$A53)/(C$49-$A53))/(1+C$49)^5)-$B$7)/$B$8*100)</f>
        <v>1650.708048382528</v>
      </c>
      <c r="D53" s="88" cm="1">
        <f t="array" ref="D53">((SUMPRODUCT($B$22:$F$22,1/(1+D$49)^$B$23:$F$23)+((($F$15*(1-$A53/$B$6))*(1+$A53)/(D$49-$A53))/(1+D$49)^5)-$B$7)/$B$8*100)</f>
        <v>1300.0818900683557</v>
      </c>
      <c r="E53" s="88" cm="1">
        <f t="array" ref="E53">((SUMPRODUCT($B$22:$F$22,1/(1+E$49)^$B$23:$F$23)+((($F$15*(1-$A53/$B$6))*(1+$A53)/(E$49-$A53))/(1+E$49)^5)-$B$7)/$B$8*100)</f>
        <v>1020.3642830688102</v>
      </c>
      <c r="F53" s="88" cm="1">
        <f t="array" ref="F53">((SUMPRODUCT($B$22:$F$22,1/(1+F$49)^$B$23:$F$23)+((($F$15*(1-$A53/$B$6))*(1+$A53)/(F$49-$A53))/(1+F$49)^5)-$B$7)/$B$8*100)</f>
        <v>792.20501431272942</v>
      </c>
    </row>
    <row r="54" spans="1:6">
      <c r="A54" s="35">
        <v>0.03</v>
      </c>
      <c r="B54" s="88" cm="1">
        <f t="array" ref="B54">((SUMPRODUCT($B$22:$F$22,1/(1+B$49)^$B$23:$F$23)+((($F$15*(1-$A54/$B$6))*(1+$A54)/(B$49-$A54))/(1+B$49)^5)-$B$7)/$B$8*100)</f>
        <v>2409.6275996698823</v>
      </c>
      <c r="C54" s="88" cm="1">
        <f t="array" ref="C54">((SUMPRODUCT($B$22:$F$22,1/(1+C$49)^$B$23:$F$23)+((($F$15*(1-$A54/$B$6))*(1+$A54)/(C$49-$A54))/(1+C$49)^5)-$B$7)/$B$8*100)</f>
        <v>1851.5328679393829</v>
      </c>
      <c r="D54" s="88" cm="1">
        <f t="array" ref="D54">((SUMPRODUCT($B$22:$F$22,1/(1+D$49)^$B$23:$F$23)+((($F$15*(1-$A54/$B$6))*(1+$A54)/(D$49-$A54))/(1+D$49)^5)-$B$7)/$B$8*100)</f>
        <v>1433.9279714949264</v>
      </c>
      <c r="E54" s="88" cm="1">
        <f t="array" ref="E54">((SUMPRODUCT($B$22:$F$22,1/(1+E$49)^$B$23:$F$23)+((($F$15*(1-$A54/$B$6))*(1+$A54)/(E$49-$A54))/(1+E$49)^5)-$B$7)/$B$8*100)</f>
        <v>1109.9690569404611</v>
      </c>
      <c r="F54" s="88" cm="1">
        <f t="array" ref="F54">((SUMPRODUCT($B$22:$F$22,1/(1+F$49)^$B$23:$F$23)+((($F$15*(1-$A54/$B$6))*(1+$A54)/(F$49-$A54))/(1+F$49)^5)-$B$7)/$B$8*100)</f>
        <v>851.55004512244352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3296-6306-4342-A840-70CC7D1ABD29}">
  <dimension ref="A1:Z46"/>
  <sheetViews>
    <sheetView zoomScale="60" workbookViewId="0">
      <selection activeCell="G26" sqref="G26:I28"/>
    </sheetView>
  </sheetViews>
  <sheetFormatPr baseColWidth="10" defaultColWidth="8.83203125" defaultRowHeight="14"/>
  <cols>
    <col min="1" max="1" width="18" style="89" customWidth="1"/>
    <col min="2" max="14" width="12" style="89" customWidth="1"/>
    <col min="15" max="15" width="8.83203125" style="89"/>
    <col min="16" max="16" width="12" style="89" customWidth="1"/>
    <col min="17" max="17" width="17.6640625" style="89" customWidth="1"/>
    <col min="18" max="18" width="14" style="89" customWidth="1"/>
    <col min="19" max="19" width="11.6640625" style="89" customWidth="1"/>
    <col min="20" max="20" width="12" style="89" customWidth="1"/>
    <col min="21" max="21" width="21.5" style="89" customWidth="1"/>
    <col min="22" max="22" width="30" style="89" customWidth="1"/>
    <col min="23" max="23" width="8.83203125" style="89"/>
    <col min="24" max="24" width="12" style="89" customWidth="1"/>
    <col min="25" max="25" width="29.6640625" style="89" customWidth="1"/>
    <col min="26" max="16384" width="8.83203125" style="89"/>
  </cols>
  <sheetData>
    <row r="1" spans="1:26" ht="40" customHeight="1">
      <c r="A1" s="115" t="s">
        <v>443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P1" s="125" t="s">
        <v>442</v>
      </c>
      <c r="Q1" s="125"/>
      <c r="R1" s="125"/>
      <c r="S1" s="125"/>
      <c r="T1" s="125"/>
      <c r="U1" s="125"/>
      <c r="V1" s="125"/>
      <c r="W1" s="125"/>
      <c r="X1" s="125"/>
      <c r="Y1" s="125"/>
      <c r="Z1" s="126"/>
    </row>
    <row r="2" spans="1:26" ht="24" customHeight="1">
      <c r="A2" s="114" t="s">
        <v>441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3"/>
    </row>
    <row r="3" spans="1:26" ht="20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P3" s="127" t="s">
        <v>412</v>
      </c>
      <c r="Q3" s="122" t="s">
        <v>321</v>
      </c>
      <c r="R3" s="122" t="s">
        <v>413</v>
      </c>
      <c r="S3" s="122"/>
      <c r="T3" s="122" t="s">
        <v>412</v>
      </c>
      <c r="U3" s="122" t="s">
        <v>414</v>
      </c>
      <c r="V3" s="122" t="s">
        <v>415</v>
      </c>
      <c r="W3" s="122"/>
      <c r="X3" s="122" t="s">
        <v>440</v>
      </c>
      <c r="Y3" s="122" t="s">
        <v>415</v>
      </c>
      <c r="Z3" s="123"/>
    </row>
    <row r="4" spans="1:26" ht="26.75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2"/>
      <c r="N4" s="112"/>
      <c r="P4" s="127" t="s">
        <v>65</v>
      </c>
      <c r="Q4" s="124">
        <v>19850</v>
      </c>
      <c r="R4" s="124">
        <v>4475</v>
      </c>
      <c r="S4" s="122"/>
      <c r="T4" s="122" t="s">
        <v>67</v>
      </c>
      <c r="U4" s="124">
        <v>46755</v>
      </c>
      <c r="V4" s="124">
        <v>0</v>
      </c>
      <c r="W4" s="122"/>
      <c r="X4" s="122" t="s">
        <v>50</v>
      </c>
      <c r="Y4" s="124">
        <v>4607.62</v>
      </c>
      <c r="Z4" s="123"/>
    </row>
    <row r="5" spans="1:26" ht="26.75" customHeight="1">
      <c r="A5" s="111" t="s">
        <v>439</v>
      </c>
      <c r="B5" s="111"/>
      <c r="C5" s="111"/>
      <c r="D5" s="111" t="s">
        <v>438</v>
      </c>
      <c r="E5" s="111"/>
      <c r="F5" s="111"/>
      <c r="G5" s="111" t="s">
        <v>437</v>
      </c>
      <c r="H5" s="111"/>
      <c r="I5" s="111"/>
      <c r="J5" s="111" t="s">
        <v>436</v>
      </c>
      <c r="K5" s="111"/>
      <c r="L5" s="111"/>
      <c r="M5" s="111" t="s">
        <v>435</v>
      </c>
      <c r="N5" s="111"/>
      <c r="P5" s="127" t="s">
        <v>66</v>
      </c>
      <c r="Q5" s="124">
        <v>18378</v>
      </c>
      <c r="R5" s="124">
        <v>4934</v>
      </c>
      <c r="S5" s="122"/>
      <c r="T5" s="122" t="s">
        <v>215</v>
      </c>
      <c r="U5" s="124">
        <v>53640.43</v>
      </c>
      <c r="V5" s="124">
        <v>4607.62</v>
      </c>
      <c r="W5" s="122"/>
      <c r="X5" s="122" t="s">
        <v>58</v>
      </c>
      <c r="Y5" s="124">
        <v>4050.95</v>
      </c>
      <c r="Z5" s="123"/>
    </row>
    <row r="6" spans="1:26" ht="26.75" customHeight="1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P6" s="122"/>
      <c r="Q6" s="124"/>
      <c r="R6" s="124"/>
      <c r="S6" s="122"/>
      <c r="T6" s="122" t="s">
        <v>216</v>
      </c>
      <c r="U6" s="124">
        <v>60851.99</v>
      </c>
      <c r="V6" s="124">
        <v>5044.08</v>
      </c>
      <c r="W6" s="122"/>
      <c r="X6" s="122" t="s">
        <v>342</v>
      </c>
      <c r="Y6" s="124">
        <v>5071.8900000000003</v>
      </c>
      <c r="Z6" s="123"/>
    </row>
    <row r="7" spans="1:26" ht="26.75" customHeight="1">
      <c r="A7" s="105" t="s">
        <v>434</v>
      </c>
      <c r="B7" s="105"/>
      <c r="C7" s="105"/>
      <c r="D7" s="105" t="s">
        <v>433</v>
      </c>
      <c r="E7" s="105"/>
      <c r="F7" s="105"/>
      <c r="G7" s="105" t="s">
        <v>432</v>
      </c>
      <c r="H7" s="105"/>
      <c r="I7" s="105"/>
      <c r="J7" s="105" t="s">
        <v>431</v>
      </c>
      <c r="K7" s="105"/>
      <c r="L7" s="105"/>
      <c r="M7" s="104" t="s">
        <v>430</v>
      </c>
      <c r="N7" s="104"/>
      <c r="P7" s="122"/>
      <c r="Q7" s="124"/>
      <c r="R7" s="124"/>
      <c r="S7" s="122"/>
      <c r="T7" s="122" t="s">
        <v>217</v>
      </c>
      <c r="U7" s="124">
        <v>68111.850000000006</v>
      </c>
      <c r="V7" s="124">
        <v>5383.11</v>
      </c>
      <c r="W7" s="122"/>
      <c r="X7" s="122"/>
      <c r="Y7" s="122"/>
      <c r="Z7" s="123"/>
    </row>
    <row r="8" spans="1:26" ht="26.75" customHeight="1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4"/>
      <c r="N8" s="104"/>
      <c r="P8" s="122"/>
      <c r="Q8" s="124"/>
      <c r="R8" s="124"/>
      <c r="S8" s="122"/>
      <c r="T8" s="122" t="s">
        <v>218</v>
      </c>
      <c r="U8" s="124">
        <v>75238.52</v>
      </c>
      <c r="V8" s="124">
        <v>5623.66</v>
      </c>
      <c r="W8" s="122"/>
      <c r="X8" s="122"/>
      <c r="Y8" s="122"/>
      <c r="Z8" s="123"/>
    </row>
    <row r="9" spans="1:26" ht="20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P9" s="122"/>
      <c r="Q9" s="124"/>
      <c r="R9" s="124"/>
      <c r="S9" s="122"/>
      <c r="T9" s="122" t="s">
        <v>219</v>
      </c>
      <c r="U9" s="124">
        <v>82236.160000000003</v>
      </c>
      <c r="V9" s="124">
        <v>5860.04</v>
      </c>
      <c r="W9" s="122"/>
      <c r="X9" s="122"/>
      <c r="Y9" s="122"/>
      <c r="Z9" s="123"/>
    </row>
    <row r="10" spans="1:26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P10" s="116"/>
      <c r="Q10" s="118"/>
      <c r="R10" s="118"/>
      <c r="S10" s="116"/>
      <c r="T10" s="116"/>
      <c r="U10" s="116"/>
      <c r="V10" s="116"/>
      <c r="W10" s="116"/>
      <c r="X10" s="116"/>
      <c r="Y10" s="116"/>
      <c r="Z10" s="117"/>
    </row>
    <row r="11" spans="1:26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P11" s="116"/>
      <c r="Q11" s="118"/>
      <c r="R11" s="118"/>
      <c r="S11" s="116"/>
      <c r="T11" s="116"/>
      <c r="U11" s="116"/>
      <c r="V11" s="116"/>
      <c r="W11" s="116"/>
      <c r="X11" s="116"/>
      <c r="Y11" s="116"/>
      <c r="Z11" s="117"/>
    </row>
    <row r="12" spans="1:26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7"/>
    </row>
    <row r="13" spans="1:26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7"/>
    </row>
    <row r="14" spans="1:26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7"/>
    </row>
    <row r="15" spans="1:26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7"/>
    </row>
    <row r="16" spans="1:2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7"/>
    </row>
    <row r="17" spans="1:26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7"/>
    </row>
    <row r="18" spans="1:26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7"/>
    </row>
    <row r="19" spans="1:26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7"/>
    </row>
    <row r="20" spans="1:26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7"/>
    </row>
    <row r="21" spans="1:26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7"/>
    </row>
    <row r="22" spans="1:26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7"/>
    </row>
    <row r="23" spans="1:26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7"/>
    </row>
    <row r="24" spans="1:26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7"/>
    </row>
    <row r="25" spans="1:26" ht="26.7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09"/>
      <c r="K25" s="109"/>
      <c r="L25" s="109"/>
      <c r="M25" s="109"/>
      <c r="N25" s="109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7"/>
    </row>
    <row r="26" spans="1:26" ht="26.75" customHeight="1">
      <c r="A26" s="106" t="s">
        <v>429</v>
      </c>
      <c r="B26" s="106"/>
      <c r="C26" s="106"/>
      <c r="D26" s="106" t="s">
        <v>428</v>
      </c>
      <c r="E26" s="107"/>
      <c r="F26" s="107"/>
      <c r="G26" s="107" t="s">
        <v>427</v>
      </c>
      <c r="H26" s="107"/>
      <c r="I26" s="107"/>
      <c r="J26" s="107" t="s">
        <v>426</v>
      </c>
      <c r="K26" s="106"/>
      <c r="L26" s="106"/>
      <c r="M26" s="106"/>
      <c r="N26" s="10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7"/>
    </row>
    <row r="27" spans="1:26" ht="26.75" customHeight="1">
      <c r="A27" s="106"/>
      <c r="B27" s="108"/>
      <c r="C27" s="108"/>
      <c r="D27" s="108"/>
      <c r="E27" s="107"/>
      <c r="F27" s="107"/>
      <c r="G27" s="107"/>
      <c r="H27" s="107"/>
      <c r="I27" s="107"/>
      <c r="J27" s="107"/>
      <c r="K27" s="106"/>
      <c r="L27" s="106"/>
      <c r="M27" s="106"/>
      <c r="N27" s="10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7"/>
    </row>
    <row r="28" spans="1:26" ht="26.75" customHeight="1">
      <c r="A28" s="106"/>
      <c r="B28" s="108"/>
      <c r="C28" s="108"/>
      <c r="D28" s="108"/>
      <c r="E28" s="107"/>
      <c r="F28" s="107"/>
      <c r="G28" s="107"/>
      <c r="H28" s="107"/>
      <c r="I28" s="107"/>
      <c r="J28" s="107"/>
      <c r="K28" s="106"/>
      <c r="L28" s="106"/>
      <c r="M28" s="106"/>
      <c r="N28" s="10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7"/>
    </row>
    <row r="29" spans="1:26" ht="26.75" customHeight="1">
      <c r="A29" s="119" t="s">
        <v>425</v>
      </c>
      <c r="B29" s="120"/>
      <c r="C29" s="120"/>
      <c r="D29" s="120" t="s">
        <v>424</v>
      </c>
      <c r="E29" s="119"/>
      <c r="F29" s="119"/>
      <c r="G29" s="119" t="s">
        <v>423</v>
      </c>
      <c r="H29" s="119"/>
      <c r="I29" s="119"/>
      <c r="J29" s="121" t="s">
        <v>422</v>
      </c>
      <c r="K29" s="121"/>
      <c r="L29" s="121"/>
      <c r="M29" s="121"/>
      <c r="N29" s="121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7"/>
    </row>
    <row r="30" spans="1:26" ht="26.75" customHeight="1">
      <c r="A30" s="119"/>
      <c r="B30" s="120"/>
      <c r="C30" s="120"/>
      <c r="D30" s="120"/>
      <c r="E30" s="119"/>
      <c r="F30" s="119"/>
      <c r="G30" s="119"/>
      <c r="H30" s="119"/>
      <c r="I30" s="119"/>
      <c r="J30" s="121"/>
      <c r="K30" s="121"/>
      <c r="L30" s="121"/>
      <c r="M30" s="121"/>
      <c r="N30" s="121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/>
    </row>
    <row r="31" spans="1:26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3"/>
      <c r="L31" s="103"/>
      <c r="M31" s="103"/>
      <c r="N31" s="10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7"/>
    </row>
    <row r="32" spans="1:26">
      <c r="A32" s="97"/>
      <c r="B32" s="97"/>
      <c r="C32" s="97"/>
      <c r="D32" s="97"/>
      <c r="E32" s="97"/>
      <c r="F32" s="97"/>
      <c r="G32" s="100"/>
      <c r="H32" s="100"/>
      <c r="I32" s="100"/>
      <c r="J32" s="100"/>
      <c r="K32" s="103"/>
      <c r="L32" s="103"/>
      <c r="M32" s="103"/>
      <c r="N32" s="10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7"/>
    </row>
    <row r="33" spans="1:26" ht="26.75" customHeight="1">
      <c r="A33" s="100"/>
      <c r="B33" s="100"/>
      <c r="C33" s="100"/>
      <c r="D33" s="100"/>
      <c r="E33" s="100"/>
      <c r="F33" s="100"/>
      <c r="G33" s="100"/>
      <c r="H33" s="98" t="s">
        <v>421</v>
      </c>
      <c r="I33" s="98"/>
      <c r="J33" s="98"/>
      <c r="K33" s="102" t="s">
        <v>420</v>
      </c>
      <c r="L33" s="102"/>
      <c r="M33" s="101" t="s">
        <v>419</v>
      </c>
      <c r="N33" s="101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7"/>
    </row>
    <row r="34" spans="1:26" ht="26.75" customHeight="1">
      <c r="A34" s="100"/>
      <c r="B34" s="100"/>
      <c r="C34" s="100"/>
      <c r="D34" s="100"/>
      <c r="E34" s="100"/>
      <c r="F34" s="100"/>
      <c r="G34" s="100"/>
      <c r="H34" s="98"/>
      <c r="I34" s="98"/>
      <c r="J34" s="98"/>
      <c r="K34" s="99"/>
      <c r="L34" s="99"/>
      <c r="M34" s="98"/>
      <c r="N34" s="98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7"/>
    </row>
    <row r="35" spans="1:26" ht="26.75" customHeight="1">
      <c r="A35" s="100"/>
      <c r="B35" s="100"/>
      <c r="C35" s="100"/>
      <c r="D35" s="100"/>
      <c r="E35" s="100"/>
      <c r="F35" s="100"/>
      <c r="G35" s="100"/>
      <c r="H35" s="98"/>
      <c r="I35" s="98"/>
      <c r="J35" s="98"/>
      <c r="K35" s="99"/>
      <c r="L35" s="99"/>
      <c r="M35" s="98"/>
      <c r="N35" s="98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7"/>
    </row>
    <row r="36" spans="1:26" ht="26.75" customHeight="1">
      <c r="A36" s="97"/>
      <c r="B36" s="97"/>
      <c r="C36" s="97"/>
      <c r="D36" s="97"/>
      <c r="E36" s="97"/>
      <c r="F36" s="97"/>
      <c r="G36" s="97"/>
      <c r="H36" s="96" t="s">
        <v>418</v>
      </c>
      <c r="I36" s="96"/>
      <c r="J36" s="96"/>
      <c r="K36" s="96" t="s">
        <v>417</v>
      </c>
      <c r="L36" s="96"/>
      <c r="M36" s="96" t="s">
        <v>416</v>
      </c>
      <c r="N36" s="9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7"/>
    </row>
    <row r="37" spans="1:26" ht="26.75" customHeight="1">
      <c r="A37" s="95"/>
      <c r="B37" s="95"/>
      <c r="C37" s="95"/>
      <c r="D37" s="94"/>
      <c r="E37" s="94"/>
      <c r="F37" s="94"/>
      <c r="G37" s="94"/>
      <c r="H37" s="96"/>
      <c r="I37" s="96"/>
      <c r="J37" s="96"/>
      <c r="K37" s="96"/>
      <c r="L37" s="96"/>
      <c r="M37" s="96"/>
      <c r="N37" s="9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7"/>
    </row>
    <row r="38" spans="1:26" ht="26.75" customHeight="1">
      <c r="A38" s="95"/>
      <c r="B38" s="95"/>
      <c r="C38" s="95"/>
      <c r="D38" s="94"/>
      <c r="E38" s="94"/>
      <c r="F38" s="94"/>
      <c r="G38" s="94"/>
      <c r="H38" s="96"/>
      <c r="I38" s="96"/>
      <c r="J38" s="96"/>
      <c r="K38" s="96"/>
      <c r="L38" s="96"/>
      <c r="M38" s="96"/>
      <c r="N38" s="9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7"/>
    </row>
    <row r="39" spans="1:26" ht="32" customHeight="1">
      <c r="A39" s="95"/>
      <c r="B39" s="95"/>
      <c r="C39" s="95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7"/>
    </row>
    <row r="40" spans="1:26" ht="32" customHeight="1">
      <c r="A40" s="93"/>
      <c r="B40" s="93"/>
      <c r="C40" s="93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7"/>
    </row>
    <row r="41" spans="1:26" ht="32" customHeight="1">
      <c r="A41" s="91"/>
      <c r="B41" s="91"/>
      <c r="C41" s="91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7"/>
    </row>
    <row r="42" spans="1:26" ht="32" customHeight="1">
      <c r="A42" s="91"/>
      <c r="B42" s="91"/>
      <c r="C42" s="91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7"/>
    </row>
    <row r="43" spans="1:26" ht="32" customHeight="1">
      <c r="A43" s="91"/>
      <c r="B43" s="91"/>
      <c r="C43" s="91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7"/>
    </row>
    <row r="44" spans="1:26" ht="32" customHeight="1">
      <c r="A44" s="91"/>
      <c r="B44" s="91"/>
      <c r="C44" s="91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7"/>
    </row>
    <row r="45" spans="1:26" ht="32" customHeight="1">
      <c r="A45" s="91"/>
      <c r="B45" s="91"/>
      <c r="C45" s="91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7"/>
    </row>
    <row r="46" spans="1:26" ht="32" customHeight="1">
      <c r="A46" s="91"/>
      <c r="B46" s="91"/>
      <c r="C46" s="91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7"/>
    </row>
  </sheetData>
  <mergeCells count="39">
    <mergeCell ref="G8:I8"/>
    <mergeCell ref="J5:L5"/>
    <mergeCell ref="J6:L7"/>
    <mergeCell ref="J8:L8"/>
    <mergeCell ref="M4:N4"/>
    <mergeCell ref="M5:N6"/>
    <mergeCell ref="A1:N1"/>
    <mergeCell ref="A2:N2"/>
    <mergeCell ref="A5:C5"/>
    <mergeCell ref="A6:C7"/>
    <mergeCell ref="A8:C8"/>
    <mergeCell ref="D5:F5"/>
    <mergeCell ref="D6:F7"/>
    <mergeCell ref="D8:F8"/>
    <mergeCell ref="G5:I5"/>
    <mergeCell ref="G6:I7"/>
    <mergeCell ref="A10:G10"/>
    <mergeCell ref="H10:N10"/>
    <mergeCell ref="A32:F32"/>
    <mergeCell ref="A36:N36"/>
    <mergeCell ref="H33:J35"/>
    <mergeCell ref="K33:L35"/>
    <mergeCell ref="M33:N35"/>
    <mergeCell ref="A37:C37"/>
    <mergeCell ref="D37:N37"/>
    <mergeCell ref="A38:C38"/>
    <mergeCell ref="D38:N38"/>
    <mergeCell ref="A39:C39"/>
    <mergeCell ref="D39:N39"/>
    <mergeCell ref="P1:Z1"/>
    <mergeCell ref="A26:C28"/>
    <mergeCell ref="A29:C30"/>
    <mergeCell ref="D26:F28"/>
    <mergeCell ref="D29:F30"/>
    <mergeCell ref="G26:I28"/>
    <mergeCell ref="G29:I30"/>
    <mergeCell ref="J26:N28"/>
    <mergeCell ref="J29:N30"/>
    <mergeCell ref="M7:N8"/>
  </mergeCells>
  <pageMargins left="0.7" right="0.7" top="0.75" bottom="0.75" header="0.3" footer="0.3"/>
  <ignoredErrors>
    <ignoredError sqref="K33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42EF-2BC0-314A-9E66-B8348D2C4416}">
  <dimension ref="A1:G24"/>
  <sheetViews>
    <sheetView topLeftCell="A9" zoomScale="63" workbookViewId="0">
      <selection activeCell="D20" sqref="D20"/>
    </sheetView>
  </sheetViews>
  <sheetFormatPr baseColWidth="10" defaultRowHeight="16"/>
  <cols>
    <col min="1" max="1" width="17.6640625" style="128" customWidth="1"/>
    <col min="2" max="2" width="20" style="128" customWidth="1"/>
    <col min="3" max="3" width="43" style="128" customWidth="1"/>
    <col min="4" max="4" width="18" style="128" customWidth="1"/>
    <col min="5" max="5" width="12" style="128" customWidth="1"/>
    <col min="6" max="6" width="23.83203125" style="128" customWidth="1"/>
    <col min="7" max="7" width="48" style="128" customWidth="1"/>
    <col min="8" max="16384" width="10.83203125" style="128"/>
  </cols>
  <sheetData>
    <row r="1" spans="1:7" ht="37.25" customHeight="1">
      <c r="A1" s="138" t="s">
        <v>516</v>
      </c>
      <c r="B1" s="138"/>
      <c r="C1" s="138"/>
      <c r="D1" s="138"/>
      <c r="E1" s="138"/>
      <c r="F1" s="138"/>
      <c r="G1" s="138"/>
    </row>
    <row r="2" spans="1:7" ht="29.25" customHeight="1">
      <c r="A2" s="137"/>
      <c r="B2" s="137"/>
      <c r="C2" s="137"/>
      <c r="D2" s="137"/>
      <c r="E2" s="137"/>
      <c r="F2" s="137"/>
      <c r="G2" s="137"/>
    </row>
    <row r="4" spans="1:7">
      <c r="A4" s="136" t="s">
        <v>515</v>
      </c>
      <c r="B4" s="136"/>
      <c r="C4" s="136" t="s">
        <v>514</v>
      </c>
      <c r="D4" s="136" t="s">
        <v>513</v>
      </c>
      <c r="E4" s="136" t="s">
        <v>512</v>
      </c>
      <c r="F4" s="136" t="s">
        <v>511</v>
      </c>
    </row>
    <row r="5" spans="1:7" ht="32" customHeight="1">
      <c r="A5" s="135" t="str">
        <f>IF(D5=C5,"PASS","FAIL")</f>
        <v>PASS</v>
      </c>
      <c r="B5" s="135"/>
      <c r="C5" s="135">
        <f>COUNTA(A9:A24)</f>
        <v>16</v>
      </c>
      <c r="D5" s="135">
        <f>COUNTIF(F9:F24,"PASS")</f>
        <v>16</v>
      </c>
      <c r="E5" s="135">
        <f>COUNTIF(F9:F24,"FAIL")</f>
        <v>0</v>
      </c>
      <c r="F5" s="134">
        <f>SUM(D9:D24)</f>
        <v>6.184563972055912E-11</v>
      </c>
    </row>
    <row r="8" spans="1:7" ht="34.75" customHeight="1">
      <c r="A8" s="133" t="s">
        <v>510</v>
      </c>
      <c r="B8" s="133" t="s">
        <v>509</v>
      </c>
      <c r="C8" s="133" t="s">
        <v>508</v>
      </c>
      <c r="D8" s="133" t="s">
        <v>507</v>
      </c>
      <c r="E8" s="133" t="s">
        <v>506</v>
      </c>
      <c r="F8" s="133" t="s">
        <v>505</v>
      </c>
      <c r="G8" s="133" t="s">
        <v>504</v>
      </c>
    </row>
    <row r="9" spans="1:7" ht="50.75" customHeight="1">
      <c r="A9" s="132" t="s">
        <v>503</v>
      </c>
      <c r="B9" s="132" t="s">
        <v>103</v>
      </c>
      <c r="C9" s="129" t="s">
        <v>502</v>
      </c>
      <c r="D9" s="131">
        <f>ABS('[1]06_BALANCE_SHEET'!B18-'[1]06_BALANCE_SHEET'!B36)+ABS('[1]06_BALANCE_SHEET'!C18-'[1]06_BALANCE_SHEET'!C36)+ABS('[1]06_BALANCE_SHEET'!D18-'[1]06_BALANCE_SHEET'!D36)+ABS('[1]06_BALANCE_SHEET'!E18-'[1]06_BALANCE_SHEET'!E36)+ABS('[1]06_BALANCE_SHEET'!F18-'[1]06_BALANCE_SHEET'!F36)+ABS('[1]06_BALANCE_SHEET'!G18-'[1]06_BALANCE_SHEET'!G36)+ABS('[1]06_BALANCE_SHEET'!H18-'[1]06_BALANCE_SHEET'!H36)+ABS('[1]06_BALANCE_SHEET'!I18-'[1]06_BALANCE_SHEET'!I36)</f>
        <v>5.8207660913467407E-11</v>
      </c>
      <c r="E9" s="131">
        <v>0.1</v>
      </c>
      <c r="F9" s="130" t="str">
        <f>IF(ABS(D9)&lt;=E9,"PASS","FAIL")</f>
        <v>PASS</v>
      </c>
      <c r="G9" s="129" t="s">
        <v>501</v>
      </c>
    </row>
    <row r="10" spans="1:7" ht="50.75" customHeight="1">
      <c r="A10" s="132" t="s">
        <v>500</v>
      </c>
      <c r="B10" s="132" t="s">
        <v>499</v>
      </c>
      <c r="C10" s="129" t="s">
        <v>498</v>
      </c>
      <c r="D10" s="131">
        <f>ABS('[1]07_CASH_FLOW'!B23+'[1]07_CASH_FLOW'!B24+'[1]07_CASH_FLOW'!B25-'[1]07_CASH_FLOW'!B26)+ABS('[1]07_CASH_FLOW'!C23+'[1]07_CASH_FLOW'!C24+'[1]07_CASH_FLOW'!C25-'[1]07_CASH_FLOW'!C26)+ABS('[1]07_CASH_FLOW'!D23+'[1]07_CASH_FLOW'!D24+'[1]07_CASH_FLOW'!D25-'[1]07_CASH_FLOW'!D26)+ABS('[1]07_CASH_FLOW'!E23+'[1]07_CASH_FLOW'!E24+'[1]07_CASH_FLOW'!E25-'[1]07_CASH_FLOW'!E26)+ABS('[1]07_CASH_FLOW'!F23+'[1]07_CASH_FLOW'!F24+'[1]07_CASH_FLOW'!F25-'[1]07_CASH_FLOW'!F26)+ABS('[1]07_CASH_FLOW'!G23+'[1]07_CASH_FLOW'!G24+'[1]07_CASH_FLOW'!G25-'[1]07_CASH_FLOW'!G26)+ABS('[1]07_CASH_FLOW'!H23+'[1]07_CASH_FLOW'!H24+'[1]07_CASH_FLOW'!H25-'[1]07_CASH_FLOW'!H26)+ABS('[1]07_CASH_FLOW'!I23+'[1]07_CASH_FLOW'!I24+'[1]07_CASH_FLOW'!I25-'[1]07_CASH_FLOW'!I26)</f>
        <v>0</v>
      </c>
      <c r="E10" s="131">
        <v>0.1</v>
      </c>
      <c r="F10" s="130" t="str">
        <f>IF(ABS(D10)&lt;=E10,"PASS","FAIL")</f>
        <v>PASS</v>
      </c>
      <c r="G10" s="129" t="s">
        <v>497</v>
      </c>
    </row>
    <row r="11" spans="1:7" ht="50.75" customHeight="1">
      <c r="A11" s="132" t="s">
        <v>496</v>
      </c>
      <c r="B11" s="132" t="s">
        <v>495</v>
      </c>
      <c r="C11" s="129" t="s">
        <v>494</v>
      </c>
      <c r="D11" s="131">
        <f>ABS('[1]07_CASH_FLOW'!B26-'[1]06_BALANCE_SHEET'!B14)+ABS('[1]07_CASH_FLOW'!C26-'[1]06_BALANCE_SHEET'!C14)+ABS('[1]07_CASH_FLOW'!D26-'[1]06_BALANCE_SHEET'!D14)+ABS('[1]07_CASH_FLOW'!E26-'[1]06_BALANCE_SHEET'!E14)+ABS('[1]07_CASH_FLOW'!F26-'[1]06_BALANCE_SHEET'!F14)+ABS('[1]07_CASH_FLOW'!G26-'[1]06_BALANCE_SHEET'!G14)+ABS('[1]07_CASH_FLOW'!H26-'[1]06_BALANCE_SHEET'!H14)+ABS('[1]07_CASH_FLOW'!I26-'[1]06_BALANCE_SHEET'!I14)</f>
        <v>0</v>
      </c>
      <c r="E11" s="131">
        <v>0.1</v>
      </c>
      <c r="F11" s="130" t="str">
        <f>IF(ABS(D11)&lt;=E11,"PASS","FAIL")</f>
        <v>PASS</v>
      </c>
      <c r="G11" s="129" t="s">
        <v>493</v>
      </c>
    </row>
    <row r="12" spans="1:7" ht="50.75" customHeight="1">
      <c r="A12" s="132" t="s">
        <v>492</v>
      </c>
      <c r="B12" s="132" t="s">
        <v>491</v>
      </c>
      <c r="C12" s="129" t="s">
        <v>490</v>
      </c>
      <c r="D12" s="131">
        <f>ABS('[1]08_CAPEX_PPE'!B5+'[1]08_CAPEX_PPE'!B6-'[1]08_CAPEX_PPE'!B7+'[1]08_CAPEX_PPE'!B8-'[1]08_CAPEX_PPE'!B9)+ABS('[1]08_CAPEX_PPE'!C5+'[1]08_CAPEX_PPE'!C6-'[1]08_CAPEX_PPE'!C7+'[1]08_CAPEX_PPE'!C8-'[1]08_CAPEX_PPE'!C9)+ABS('[1]08_CAPEX_PPE'!D5+'[1]08_CAPEX_PPE'!D6-'[1]08_CAPEX_PPE'!D7+'[1]08_CAPEX_PPE'!D8-'[1]08_CAPEX_PPE'!D9)+ABS('[1]08_CAPEX_PPE'!E5+'[1]08_CAPEX_PPE'!E6-'[1]08_CAPEX_PPE'!E7+'[1]08_CAPEX_PPE'!E8-'[1]08_CAPEX_PPE'!E9)+ABS('[1]08_CAPEX_PPE'!F5+'[1]08_CAPEX_PPE'!F6-'[1]08_CAPEX_PPE'!F7+'[1]08_CAPEX_PPE'!F8-'[1]08_CAPEX_PPE'!F9)+ABS('[1]08_CAPEX_PPE'!G5+'[1]08_CAPEX_PPE'!G6-'[1]08_CAPEX_PPE'!G7+'[1]08_CAPEX_PPE'!G8-'[1]08_CAPEX_PPE'!G9)</f>
        <v>0</v>
      </c>
      <c r="E12" s="131">
        <v>0.1</v>
      </c>
      <c r="F12" s="130" t="str">
        <f>IF(ABS(D12)&lt;=E12,"PASS","FAIL")</f>
        <v>PASS</v>
      </c>
      <c r="G12" s="129" t="s">
        <v>489</v>
      </c>
    </row>
    <row r="13" spans="1:7" ht="50.75" customHeight="1">
      <c r="A13" s="132" t="s">
        <v>488</v>
      </c>
      <c r="B13" s="132" t="s">
        <v>487</v>
      </c>
      <c r="C13" s="129" t="s">
        <v>486</v>
      </c>
      <c r="D13" s="131">
        <f>ABS('[1]08_CAPEX_PPE'!B9-'[1]06_BALANCE_SHEET'!D8)+ABS('[1]08_CAPEX_PPE'!C9-'[1]06_BALANCE_SHEET'!E8)+ABS('[1]08_CAPEX_PPE'!D9-'[1]06_BALANCE_SHEET'!F8)+ABS('[1]08_CAPEX_PPE'!E9-'[1]06_BALANCE_SHEET'!G8)+ABS('[1]08_CAPEX_PPE'!F9-'[1]06_BALANCE_SHEET'!H8)+ABS('[1]08_CAPEX_PPE'!G9-'[1]06_BALANCE_SHEET'!I8)</f>
        <v>0</v>
      </c>
      <c r="E13" s="131">
        <v>0.1</v>
      </c>
      <c r="F13" s="130" t="str">
        <f>IF(ABS(D13)&lt;=E13,"PASS","FAIL")</f>
        <v>PASS</v>
      </c>
      <c r="G13" s="129" t="s">
        <v>485</v>
      </c>
    </row>
    <row r="14" spans="1:7" ht="50.75" customHeight="1">
      <c r="A14" s="132" t="s">
        <v>484</v>
      </c>
      <c r="B14" s="132" t="s">
        <v>483</v>
      </c>
      <c r="C14" s="129" t="s">
        <v>482</v>
      </c>
      <c r="D14" s="131">
        <f>ABS('[1]09_DEBT'!B5+'[1]09_DEBT'!B6-'[1]09_DEBT'!B7+'[1]09_DEBT'!B8+'[1]09_DEBT'!B14-'[1]09_DEBT'!B9)+ABS('[1]09_DEBT'!C5+'[1]09_DEBT'!C6-'[1]09_DEBT'!C7+'[1]09_DEBT'!C8+'[1]09_DEBT'!C14-'[1]09_DEBT'!C9)+ABS('[1]09_DEBT'!D5+'[1]09_DEBT'!D6-'[1]09_DEBT'!D7+'[1]09_DEBT'!D8+'[1]09_DEBT'!D14-'[1]09_DEBT'!D9)+ABS('[1]09_DEBT'!E5+'[1]09_DEBT'!E6-'[1]09_DEBT'!E7+'[1]09_DEBT'!E8+'[1]09_DEBT'!E14-'[1]09_DEBT'!E9)+ABS('[1]09_DEBT'!F5+'[1]09_DEBT'!F6-'[1]09_DEBT'!F7+'[1]09_DEBT'!F8+'[1]09_DEBT'!F14-'[1]09_DEBT'!F9)+ABS('[1]09_DEBT'!G5+'[1]09_DEBT'!G6-'[1]09_DEBT'!G7+'[1]09_DEBT'!G8+'[1]09_DEBT'!G14-'[1]09_DEBT'!G9)</f>
        <v>0</v>
      </c>
      <c r="E14" s="131">
        <v>0.1</v>
      </c>
      <c r="F14" s="130" t="str">
        <f>IF(ABS(D14)&lt;=E14,"PASS","FAIL")</f>
        <v>PASS</v>
      </c>
      <c r="G14" s="129" t="s">
        <v>481</v>
      </c>
    </row>
    <row r="15" spans="1:7" ht="50.75" customHeight="1">
      <c r="A15" s="132" t="s">
        <v>480</v>
      </c>
      <c r="B15" s="132" t="s">
        <v>479</v>
      </c>
      <c r="C15" s="129" t="s">
        <v>478</v>
      </c>
      <c r="D15" s="131">
        <f>ABS('[1]09_DEBT'!B9-'[1]06_BALANCE_SHEET'!D21)+ABS('[1]09_DEBT'!C9-'[1]06_BALANCE_SHEET'!E21)+ABS('[1]09_DEBT'!D9-'[1]06_BALANCE_SHEET'!F21)+ABS('[1]09_DEBT'!E9-'[1]06_BALANCE_SHEET'!G21)+ABS('[1]09_DEBT'!F9-'[1]06_BALANCE_SHEET'!H21)+ABS('[1]09_DEBT'!G9-'[1]06_BALANCE_SHEET'!I21)</f>
        <v>0</v>
      </c>
      <c r="E15" s="131">
        <v>0.1</v>
      </c>
      <c r="F15" s="130" t="str">
        <f>IF(ABS(D15)&lt;=E15,"PASS","FAIL")</f>
        <v>PASS</v>
      </c>
      <c r="G15" s="129" t="s">
        <v>477</v>
      </c>
    </row>
    <row r="16" spans="1:7" ht="50.75" customHeight="1">
      <c r="A16" s="132" t="s">
        <v>476</v>
      </c>
      <c r="B16" s="132" t="s">
        <v>475</v>
      </c>
      <c r="C16" s="129" t="s">
        <v>474</v>
      </c>
      <c r="D16" s="131">
        <f>ABS('[1]09_DEBT'!B13+'[1]05_INCOME_STATEMENT'!D12)+ABS('[1]09_DEBT'!C13+'[1]05_INCOME_STATEMENT'!E12)+ABS('[1]09_DEBT'!D13+'[1]05_INCOME_STATEMENT'!F12)+ABS('[1]09_DEBT'!E13+'[1]05_INCOME_STATEMENT'!G12)+ABS('[1]09_DEBT'!F13+'[1]05_INCOME_STATEMENT'!H12)+ABS('[1]09_DEBT'!G13+'[1]05_INCOME_STATEMENT'!I12)</f>
        <v>0</v>
      </c>
      <c r="E16" s="131">
        <v>0.1</v>
      </c>
      <c r="F16" s="130" t="str">
        <f>IF(ABS(D16)&lt;=E16,"PASS","FAIL")</f>
        <v>PASS</v>
      </c>
      <c r="G16" s="129" t="s">
        <v>473</v>
      </c>
    </row>
    <row r="17" spans="1:7" ht="50.75" customHeight="1">
      <c r="A17" s="132" t="s">
        <v>472</v>
      </c>
      <c r="B17" s="132" t="s">
        <v>468</v>
      </c>
      <c r="C17" s="129" t="s">
        <v>471</v>
      </c>
      <c r="D17" s="131">
        <f>ABS('[1]05_INCOME_STATEMENT'!B15+'[1]05_INCOME_STATEMENT'!B17-'[1]05_INCOME_STATEMENT'!B19)+ABS('[1]05_INCOME_STATEMENT'!C15+'[1]05_INCOME_STATEMENT'!C17-'[1]05_INCOME_STATEMENT'!C19)+ABS('[1]05_INCOME_STATEMENT'!D15+'[1]05_INCOME_STATEMENT'!D17-'[1]05_INCOME_STATEMENT'!D19)+ABS('[1]05_INCOME_STATEMENT'!E15+'[1]05_INCOME_STATEMENT'!E17-'[1]05_INCOME_STATEMENT'!E19)+ABS('[1]05_INCOME_STATEMENT'!F15+'[1]05_INCOME_STATEMENT'!F17-'[1]05_INCOME_STATEMENT'!F19)+ABS('[1]05_INCOME_STATEMENT'!G15+'[1]05_INCOME_STATEMENT'!G17-'[1]05_INCOME_STATEMENT'!G19)+ABS('[1]05_INCOME_STATEMENT'!H15+'[1]05_INCOME_STATEMENT'!H17-'[1]05_INCOME_STATEMENT'!H19)+ABS('[1]05_INCOME_STATEMENT'!I15+'[1]05_INCOME_STATEMENT'!I17-'[1]05_INCOME_STATEMENT'!I19)</f>
        <v>0</v>
      </c>
      <c r="E17" s="131">
        <v>0.1</v>
      </c>
      <c r="F17" s="130" t="str">
        <f>IF(ABS(D17)&lt;=E17,"PASS","FAIL")</f>
        <v>PASS</v>
      </c>
      <c r="G17" s="129" t="s">
        <v>470</v>
      </c>
    </row>
    <row r="18" spans="1:7" ht="50.75" customHeight="1">
      <c r="A18" s="132" t="s">
        <v>469</v>
      </c>
      <c r="B18" s="132" t="s">
        <v>468</v>
      </c>
      <c r="C18" s="129" t="s">
        <v>467</v>
      </c>
      <c r="D18" s="131">
        <f>ABS('[1]05_INCOME_STATEMENT'!B5*'[1]05_INCOME_STATEMENT'!B9-'[1]05_INCOME_STATEMENT'!B8)+ABS('[1]05_INCOME_STATEMENT'!C5*'[1]05_INCOME_STATEMENT'!C9-'[1]05_INCOME_STATEMENT'!C8)+ABS('[1]05_INCOME_STATEMENT'!D5*'[1]05_INCOME_STATEMENT'!D9-'[1]05_INCOME_STATEMENT'!D8)+ABS('[1]05_INCOME_STATEMENT'!E5*'[1]05_INCOME_STATEMENT'!E9-'[1]05_INCOME_STATEMENT'!E8)+ABS('[1]05_INCOME_STATEMENT'!F5*'[1]05_INCOME_STATEMENT'!F9-'[1]05_INCOME_STATEMENT'!F8)+ABS('[1]05_INCOME_STATEMENT'!G5*'[1]05_INCOME_STATEMENT'!G9-'[1]05_INCOME_STATEMENT'!G8)+ABS('[1]05_INCOME_STATEMENT'!H5*'[1]05_INCOME_STATEMENT'!H9-'[1]05_INCOME_STATEMENT'!H8)+ABS('[1]05_INCOME_STATEMENT'!I5*'[1]05_INCOME_STATEMENT'!I9-'[1]05_INCOME_STATEMENT'!I8)</f>
        <v>9.0949470177292824E-13</v>
      </c>
      <c r="E18" s="131">
        <v>0.1</v>
      </c>
      <c r="F18" s="130" t="str">
        <f>IF(ABS(D18)&lt;=E18,"PASS","FAIL")</f>
        <v>PASS</v>
      </c>
      <c r="G18" s="129" t="s">
        <v>466</v>
      </c>
    </row>
    <row r="19" spans="1:7" ht="50.75" customHeight="1">
      <c r="A19" s="132" t="s">
        <v>465</v>
      </c>
      <c r="B19" s="132" t="s">
        <v>464</v>
      </c>
      <c r="C19" s="129" t="s">
        <v>463</v>
      </c>
      <c r="D19" s="131">
        <f>ABS('[1]06_BALANCE_SHEET'!C30+'[1]06_BALANCE_SHEET'!C31+'[1]06_BALANCE_SHEET'!C32+'[1]06_BALANCE_SHEET'!C33-'[1]06_BALANCE_SHEET'!C34)+ABS('[1]06_BALANCE_SHEET'!D30+'[1]06_BALANCE_SHEET'!D31+'[1]06_BALANCE_SHEET'!D32+'[1]06_BALANCE_SHEET'!D33-'[1]06_BALANCE_SHEET'!D34)+ABS('[1]06_BALANCE_SHEET'!E30+'[1]06_BALANCE_SHEET'!E31+'[1]06_BALANCE_SHEET'!E32+'[1]06_BALANCE_SHEET'!E33-'[1]06_BALANCE_SHEET'!E34)+ABS('[1]06_BALANCE_SHEET'!F30+'[1]06_BALANCE_SHEET'!F31+'[1]06_BALANCE_SHEET'!F32+'[1]06_BALANCE_SHEET'!F33-'[1]06_BALANCE_SHEET'!F34)+ABS('[1]06_BALANCE_SHEET'!G30+'[1]06_BALANCE_SHEET'!G31+'[1]06_BALANCE_SHEET'!G32+'[1]06_BALANCE_SHEET'!G33-'[1]06_BALANCE_SHEET'!G34)+ABS('[1]06_BALANCE_SHEET'!H30+'[1]06_BALANCE_SHEET'!H31+'[1]06_BALANCE_SHEET'!H32+'[1]06_BALANCE_SHEET'!H33-'[1]06_BALANCE_SHEET'!H34)+ABS('[1]06_BALANCE_SHEET'!I30+'[1]06_BALANCE_SHEET'!I31+'[1]06_BALANCE_SHEET'!I32+'[1]06_BALANCE_SHEET'!I33-'[1]06_BALANCE_SHEET'!I34)</f>
        <v>0</v>
      </c>
      <c r="E19" s="131">
        <v>0.1</v>
      </c>
      <c r="F19" s="130" t="str">
        <f>IF(ABS(D19)&lt;=E19,"PASS","FAIL")</f>
        <v>PASS</v>
      </c>
      <c r="G19" s="129" t="s">
        <v>462</v>
      </c>
    </row>
    <row r="20" spans="1:7" ht="50.75" customHeight="1">
      <c r="A20" s="132" t="s">
        <v>461</v>
      </c>
      <c r="B20" s="132" t="s">
        <v>460</v>
      </c>
      <c r="C20" s="129" t="s">
        <v>459</v>
      </c>
      <c r="D20" s="131">
        <f>ABS('[1]12_SCENARIOS'!B13-'[1]05_INCOME_STATEMENT'!E5)+ABS('[1]12_SCENARIOS'!B14-'[1]05_INCOME_STATEMENT'!E8)+ABS('[1]12_SCENARIOS'!B23-'[1]05_INCOME_STATEMENT'!E19)+ABS('[1]12_SCENARIOS'!B51-'[1]07_CASH_FLOW'!E26)+ABS('[1]12_SCENARIOS'!B52-'[1]09_DEBT'!C9)+ABS('[1]12_SCENARIOS'!B55-'[1]11_KPI_RATIOS'!E13)+ABS('[1]12_SCENARIOS'!B56-'[1]11_KPI_RATIOS'!E14)</f>
        <v>4.5474735088646412E-13</v>
      </c>
      <c r="E20" s="131">
        <v>0.1</v>
      </c>
      <c r="F20" s="130" t="str">
        <f>IF(ABS(D20)&lt;=E20,"PASS","FAIL")</f>
        <v>PASS</v>
      </c>
      <c r="G20" s="129" t="s">
        <v>458</v>
      </c>
    </row>
    <row r="21" spans="1:7" ht="50.75" customHeight="1">
      <c r="A21" s="132" t="s">
        <v>457</v>
      </c>
      <c r="B21" s="132" t="s">
        <v>450</v>
      </c>
      <c r="C21" s="129" t="s">
        <v>456</v>
      </c>
      <c r="D21" s="131">
        <f>ABS('[1]13_DCF_VALUATION'!B37-('[1]13_DCF_VALUATION'!B35+'[1]13_DCF_VALUATION'!B36))</f>
        <v>0</v>
      </c>
      <c r="E21" s="131">
        <v>0.1</v>
      </c>
      <c r="F21" s="130" t="str">
        <f>IF(ABS(D21)&lt;=E21,"PASS","FAIL")</f>
        <v>PASS</v>
      </c>
      <c r="G21" s="129" t="s">
        <v>455</v>
      </c>
    </row>
    <row r="22" spans="1:7" ht="50.75" customHeight="1">
      <c r="A22" s="132" t="s">
        <v>454</v>
      </c>
      <c r="B22" s="132" t="s">
        <v>450</v>
      </c>
      <c r="C22" s="129" t="s">
        <v>453</v>
      </c>
      <c r="D22" s="131">
        <f>ABS('[1]13_DCF_VALUATION'!B39-('[1]13_DCF_VALUATION'!B37+'[1]13_DCF_VALUATION'!B38))</f>
        <v>0</v>
      </c>
      <c r="E22" s="131">
        <v>0.1</v>
      </c>
      <c r="F22" s="130" t="str">
        <f>IF(ABS(D22)&lt;=E22,"PASS","FAIL")</f>
        <v>PASS</v>
      </c>
      <c r="G22" s="129" t="s">
        <v>452</v>
      </c>
    </row>
    <row r="23" spans="1:7" ht="50.75" customHeight="1">
      <c r="A23" s="132" t="s">
        <v>451</v>
      </c>
      <c r="B23" s="132" t="s">
        <v>450</v>
      </c>
      <c r="C23" s="129" t="s">
        <v>449</v>
      </c>
      <c r="D23" s="131">
        <f>ABS('[1]13_DCF_VALUATION'!B42-('[1]13_DCF_VALUATION'!B39/'[1]13_DCF_VALUATION'!B40*100))</f>
        <v>0</v>
      </c>
      <c r="E23" s="131">
        <v>0.1</v>
      </c>
      <c r="F23" s="130" t="str">
        <f>IF(ABS(D23)&lt;=E23,"PASS","FAIL")</f>
        <v>PASS</v>
      </c>
      <c r="G23" s="129" t="s">
        <v>448</v>
      </c>
    </row>
    <row r="24" spans="1:7" ht="50.75" customHeight="1">
      <c r="A24" s="132" t="s">
        <v>447</v>
      </c>
      <c r="B24" s="132" t="s">
        <v>446</v>
      </c>
      <c r="C24" s="129" t="s">
        <v>445</v>
      </c>
      <c r="D24" s="131">
        <f>ABS('[1]07_CASH_FLOW'!E26-'[1]04_DRIVERS'!$B$37)+ABS('[1]07_CASH_FLOW'!F26-'[1]04_DRIVERS'!$B$37)+ABS('[1]07_CASH_FLOW'!G26-'[1]04_DRIVERS'!$B$37)+ABS('[1]07_CASH_FLOW'!H26-'[1]04_DRIVERS'!$B$37)+ABS('[1]07_CASH_FLOW'!I26-'[1]04_DRIVERS'!$B$37)</f>
        <v>2.2737367544323206E-12</v>
      </c>
      <c r="E24" s="131">
        <v>0.1</v>
      </c>
      <c r="F24" s="130" t="str">
        <f>IF(ABS(D24)&lt;=E24,"PASS","FAIL")</f>
        <v>PASS</v>
      </c>
      <c r="G24" s="129" t="s">
        <v>444</v>
      </c>
    </row>
  </sheetData>
  <mergeCells count="2">
    <mergeCell ref="A1:G1"/>
    <mergeCell ref="A2:G2"/>
  </mergeCells>
  <conditionalFormatting sqref="A5">
    <cfRule type="expression" dxfId="3" priority="3">
      <formula>A5="PASS"</formula>
    </cfRule>
    <cfRule type="expression" dxfId="2" priority="4">
      <formula>A5="FAIL"</formula>
    </cfRule>
  </conditionalFormatting>
  <conditionalFormatting sqref="F9:F24">
    <cfRule type="expression" dxfId="1" priority="1">
      <formula>F9="PASS"</formula>
    </cfRule>
    <cfRule type="expression" dxfId="0" priority="2">
      <formula>F9="FAIL"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00_README</vt:lpstr>
      <vt:lpstr>01_CONTROL</vt:lpstr>
      <vt:lpstr>02_RAW_DATA</vt:lpstr>
      <vt:lpstr>03_HIST_FS</vt:lpstr>
      <vt:lpstr>04_DRIVERS</vt:lpstr>
      <vt:lpstr>05_INCOME_STATEMENT</vt:lpstr>
      <vt:lpstr>06_BALANCE_SHEET</vt:lpstr>
      <vt:lpstr>07_CASH_FLOW</vt:lpstr>
      <vt:lpstr>08_CAPEX_PPE</vt:lpstr>
      <vt:lpstr>09_DEBT</vt:lpstr>
      <vt:lpstr>10_FPA_VARIANCE</vt:lpstr>
      <vt:lpstr>11_KPI_RATIOS</vt:lpstr>
      <vt:lpstr>12_SCENARIOS</vt:lpstr>
      <vt:lpstr>13_DCF_VALUATION</vt:lpstr>
      <vt:lpstr>14_DASHBOARD</vt:lpstr>
      <vt:lpstr>15_CHECKS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Shebelle Christina Goveas (student)</dc:creator>
  <cp:lastModifiedBy>Shebelle Christina Goveas (student)</cp:lastModifiedBy>
  <dcterms:created xsi:type="dcterms:W3CDTF">2026-08-30T10:44:54Z</dcterms:created>
  <dcterms:modified xsi:type="dcterms:W3CDTF">2026-09-07T10:33:09Z</dcterms:modified>
</cp:coreProperties>
</file>